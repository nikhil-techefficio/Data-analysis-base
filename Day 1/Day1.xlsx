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Day 1\"/>
    </mc:Choice>
  </mc:AlternateContent>
  <xr:revisionPtr revIDLastSave="0" documentId="13_ncr:1_{72E8AF8D-7566-4FC8-AB78-AF1D15B95A6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in " sheetId="1" r:id="rId1"/>
    <sheet name="Sheet2" sheetId="3" r:id="rId2"/>
    <sheet name="Pivat " sheetId="2" r:id="rId3"/>
  </sheets>
  <definedNames>
    <definedName name="_xlnm._FilterDatabase" localSheetId="0" hidden="1">'Main '!$A$1:$I$352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7" i="1" l="1"/>
  <c r="T28" i="1"/>
  <c r="T29" i="1"/>
  <c r="T30" i="1"/>
  <c r="T31" i="1"/>
  <c r="T32" i="1"/>
  <c r="T33" i="1"/>
  <c r="T34" i="1"/>
  <c r="T35" i="1"/>
  <c r="T26" i="1"/>
  <c r="U23" i="1"/>
  <c r="U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2" i="1"/>
  <c r="U13" i="1"/>
  <c r="U14" i="1"/>
  <c r="U15" i="1"/>
  <c r="U16" i="1"/>
  <c r="U17" i="1"/>
  <c r="U18" i="1"/>
  <c r="U19" i="1"/>
  <c r="U20" i="1"/>
  <c r="U12" i="1"/>
  <c r="T14" i="1"/>
  <c r="T15" i="1"/>
  <c r="I3" i="1"/>
  <c r="T3" i="1" s="1"/>
  <c r="I4" i="1"/>
  <c r="I5" i="1"/>
  <c r="I6" i="1"/>
  <c r="T16" i="1" s="1"/>
  <c r="I7" i="1"/>
  <c r="T17" i="1" s="1"/>
  <c r="I8" i="1"/>
  <c r="T18" i="1" s="1"/>
  <c r="I9" i="1"/>
  <c r="T12" i="1" s="1"/>
  <c r="I10" i="1"/>
  <c r="T19" i="1" s="1"/>
  <c r="I11" i="1"/>
  <c r="T20" i="1" s="1"/>
  <c r="I12" i="1"/>
  <c r="T8" i="1" s="1"/>
  <c r="I13" i="1"/>
  <c r="T9" i="1" s="1"/>
  <c r="I14" i="1"/>
  <c r="T6" i="1" s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2" i="1"/>
  <c r="T13" i="1" l="1"/>
  <c r="T7" i="1"/>
</calcChain>
</file>

<file path=xl/sharedStrings.xml><?xml version="1.0" encoding="utf-8"?>
<sst xmlns="http://schemas.openxmlformats.org/spreadsheetml/2006/main" count="1478" uniqueCount="52">
  <si>
    <t>OrderID</t>
  </si>
  <si>
    <t>OrderDate</t>
  </si>
  <si>
    <t>Region</t>
  </si>
  <si>
    <t>CustomerID</t>
  </si>
  <si>
    <t>Category</t>
  </si>
  <si>
    <t>Product</t>
  </si>
  <si>
    <t>Quantity</t>
  </si>
  <si>
    <t>UnitPrice</t>
  </si>
  <si>
    <t>North</t>
  </si>
  <si>
    <t>C001</t>
  </si>
  <si>
    <t>Electronics</t>
  </si>
  <si>
    <t>Laptop</t>
  </si>
  <si>
    <t>West</t>
  </si>
  <si>
    <t>C002</t>
  </si>
  <si>
    <t>Furniture</t>
  </si>
  <si>
    <t>Chair</t>
  </si>
  <si>
    <t>South</t>
  </si>
  <si>
    <t>C003</t>
  </si>
  <si>
    <t>Smartphone</t>
  </si>
  <si>
    <t>East</t>
  </si>
  <si>
    <t>C004</t>
  </si>
  <si>
    <t>Clothing</t>
  </si>
  <si>
    <t>Jacket</t>
  </si>
  <si>
    <t>Table</t>
  </si>
  <si>
    <t>C005</t>
  </si>
  <si>
    <t>Headphones</t>
  </si>
  <si>
    <t>Shoes</t>
  </si>
  <si>
    <t>C006</t>
  </si>
  <si>
    <t>C007</t>
  </si>
  <si>
    <t>Sofa</t>
  </si>
  <si>
    <t>T-shirt</t>
  </si>
  <si>
    <t>C008</t>
  </si>
  <si>
    <t>C009</t>
  </si>
  <si>
    <t>C010</t>
  </si>
  <si>
    <t>1) Total Revenue
2)Revenue by Region
3) Revenue by Product Category
4)Monthly Sales Trend
5)Top 5 Customers by Revenue</t>
  </si>
  <si>
    <t>Total</t>
  </si>
  <si>
    <t xml:space="preserve">Total </t>
  </si>
  <si>
    <t>1)</t>
  </si>
  <si>
    <t>2)</t>
  </si>
  <si>
    <t>3)</t>
  </si>
  <si>
    <t>Revenue</t>
  </si>
  <si>
    <t xml:space="preserve">Quantity </t>
  </si>
  <si>
    <t>4)</t>
  </si>
  <si>
    <t>Jan</t>
  </si>
  <si>
    <t>Feb</t>
  </si>
  <si>
    <t>5)</t>
  </si>
  <si>
    <t>Month</t>
  </si>
  <si>
    <t>Sum of OrderID</t>
  </si>
  <si>
    <t>Row Labels</t>
  </si>
  <si>
    <t>Grand Total</t>
  </si>
  <si>
    <t>Sum of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</si>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</sst>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 wrapText="1"/>
    </xf>
    <xf numFmtId="177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efficio Solutions" refreshedDate="46079.625001273147" createdVersion="8" refreshedVersion="8" minRefreshableVersion="3" recordCount="351" xr:uid="{CDEE840C-B30B-4697-82D2-C703CB75520C}">
  <cacheSource type="worksheet">
    <worksheetSource ref="A1:J352" sheet="Main "/>
  </cacheSource>
  <cacheFields count="12">
    <cacheField name="OrderID" numFmtId="0">
      <sharedItems containsSemiMixedTypes="0" containsString="0" containsNumber="1" containsInteger="1" minValue="1001" maxValue="1351"/>
    </cacheField>
    <cacheField name="OrderDate" numFmtId="14">
      <sharedItems containsSemiMixedTypes="0" containsNonDate="0" containsDate="1" containsString="0" minDate="2025-01-03T00:00:00" maxDate="2025-02-23T00:00:00" count="20">
        <d v="2025-01-03T00:00:00"/>
        <d v="2025-01-05T00:00:00"/>
        <d v="2025-01-06T00:00:00"/>
        <d v="2025-01-07T00:00:00"/>
        <d v="2025-01-10T00:00:00"/>
        <d v="2025-01-11T00:00:00"/>
        <d v="2025-01-13T00:00:00"/>
        <d v="2025-01-15T00:00:00"/>
        <d v="2025-01-18T00:00:00"/>
        <d v="2025-01-20T00:00:00"/>
        <d v="2025-02-02T00:00:00"/>
        <d v="2025-02-04T00:00:00"/>
        <d v="2025-02-06T00:00:00"/>
        <d v="2025-02-08T00:00:00"/>
        <d v="2025-02-10T00:00:00"/>
        <d v="2025-02-12T00:00:00"/>
        <d v="2025-02-15T00:00:00"/>
        <d v="2025-02-18T00:00:00"/>
        <d v="2025-02-20T00:00:00"/>
        <d v="2025-02-22T00:00:00"/>
      </sharedItems>
      <fieldGroup par="11"/>
    </cacheField>
    <cacheField name="Region" numFmtId="0">
      <sharedItems count="4">
        <s v="North"/>
        <s v="West"/>
        <s v="South"/>
        <s v="East"/>
      </sharedItems>
    </cacheField>
    <cacheField name="Customer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800" maxValue="60000"/>
    </cacheField>
    <cacheField name="Total" numFmtId="0">
      <sharedItems containsSemiMixedTypes="0" containsString="0" containsNumber="1" containsInteger="1" minValue="800" maxValue="600000"/>
    </cacheField>
    <cacheField name="Month" numFmtId="0">
      <sharedItems/>
    </cacheField>
    <cacheField name="Days (OrderDate)" numFmtId="0" databaseField="0">
      <fieldGroup base="1">
        <rangePr groupBy="days" startDate="2025-01-03T00:00:00" endDate="2025-02-23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2-2025"/>
        </groupItems>
      </fieldGroup>
    </cacheField>
    <cacheField name="Months (OrderDate)" numFmtId="0" databaseField="0">
      <fieldGroup base="1">
        <rangePr groupBy="months" startDate="2025-01-03T00:00:00" endDate="2025-02-23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1001"/>
    <x v="0"/>
    <x v="0"/>
    <x v="0"/>
    <s v="Electronics"/>
    <s v="Laptop"/>
    <n v="2"/>
    <n v="55000"/>
    <n v="110000"/>
    <s v="01"/>
  </r>
  <r>
    <n v="1002"/>
    <x v="1"/>
    <x v="1"/>
    <x v="1"/>
    <s v="Furniture"/>
    <s v="Chair"/>
    <n v="5"/>
    <n v="3500"/>
    <n v="17500"/>
    <s v="01"/>
  </r>
  <r>
    <n v="1003"/>
    <x v="2"/>
    <x v="2"/>
    <x v="2"/>
    <s v="Electronics"/>
    <s v="Smartphone"/>
    <n v="3"/>
    <n v="22000"/>
    <n v="66000"/>
    <s v="01"/>
  </r>
  <r>
    <n v="1004"/>
    <x v="3"/>
    <x v="3"/>
    <x v="3"/>
    <s v="Clothing"/>
    <s v="Jacket"/>
    <n v="4"/>
    <n v="2500"/>
    <n v="10000"/>
    <s v="01"/>
  </r>
  <r>
    <n v="1005"/>
    <x v="4"/>
    <x v="0"/>
    <x v="1"/>
    <s v="Furniture"/>
    <s v="Table"/>
    <n v="2"/>
    <n v="12000"/>
    <n v="24000"/>
    <s v="01"/>
  </r>
  <r>
    <n v="1006"/>
    <x v="5"/>
    <x v="1"/>
    <x v="4"/>
    <s v="Electronics"/>
    <s v="Headphones"/>
    <n v="6"/>
    <n v="2000"/>
    <n v="12000"/>
    <s v="01"/>
  </r>
  <r>
    <n v="1007"/>
    <x v="6"/>
    <x v="2"/>
    <x v="0"/>
    <s v="Clothing"/>
    <s v="Shoes"/>
    <n v="3"/>
    <n v="3000"/>
    <n v="9000"/>
    <s v="01"/>
  </r>
  <r>
    <n v="1008"/>
    <x v="7"/>
    <x v="3"/>
    <x v="5"/>
    <s v="Electronics"/>
    <s v="Laptop"/>
    <n v="1"/>
    <n v="60000"/>
    <n v="60000"/>
    <s v="01"/>
  </r>
  <r>
    <n v="1009"/>
    <x v="8"/>
    <x v="0"/>
    <x v="6"/>
    <s v="Furniture"/>
    <s v="Sofa"/>
    <n v="1"/>
    <n v="45000"/>
    <n v="45000"/>
    <s v="01"/>
  </r>
  <r>
    <n v="1010"/>
    <x v="9"/>
    <x v="1"/>
    <x v="2"/>
    <s v="Clothing"/>
    <s v="T-shirt"/>
    <n v="10"/>
    <n v="800"/>
    <n v="8000"/>
    <s v="01"/>
  </r>
  <r>
    <n v="1011"/>
    <x v="10"/>
    <x v="2"/>
    <x v="7"/>
    <s v="Electronics"/>
    <s v="Smartphone"/>
    <n v="2"/>
    <n v="21000"/>
    <n v="42000"/>
    <s v="02"/>
  </r>
  <r>
    <n v="1012"/>
    <x v="11"/>
    <x v="3"/>
    <x v="1"/>
    <s v="Furniture"/>
    <s v="Chair"/>
    <n v="3"/>
    <n v="3500"/>
    <n v="10500"/>
    <s v="02"/>
  </r>
  <r>
    <n v="1013"/>
    <x v="12"/>
    <x v="0"/>
    <x v="8"/>
    <s v="Clothing"/>
    <s v="Jacket"/>
    <n v="2"/>
    <n v="2600"/>
    <n v="5200"/>
    <s v="02"/>
  </r>
  <r>
    <n v="1014"/>
    <x v="13"/>
    <x v="1"/>
    <x v="3"/>
    <s v="Electronics"/>
    <s v="Laptop"/>
    <n v="1"/>
    <n v="58000"/>
    <n v="58000"/>
    <s v="02"/>
  </r>
  <r>
    <n v="1015"/>
    <x v="14"/>
    <x v="2"/>
    <x v="9"/>
    <s v="Furniture"/>
    <s v="Table"/>
    <n v="1"/>
    <n v="11000"/>
    <n v="11000"/>
    <s v="02"/>
  </r>
  <r>
    <n v="1016"/>
    <x v="15"/>
    <x v="3"/>
    <x v="0"/>
    <s v="Electronics"/>
    <s v="Headphones"/>
    <n v="4"/>
    <n v="2200"/>
    <n v="8800"/>
    <s v="02"/>
  </r>
  <r>
    <n v="1017"/>
    <x v="16"/>
    <x v="0"/>
    <x v="4"/>
    <s v="Clothing"/>
    <s v="Shoes"/>
    <n v="2"/>
    <n v="3200"/>
    <n v="6400"/>
    <s v="02"/>
  </r>
  <r>
    <n v="1018"/>
    <x v="17"/>
    <x v="1"/>
    <x v="5"/>
    <s v="Furniture"/>
    <s v="Sofa"/>
    <n v="1"/>
    <n v="47000"/>
    <n v="47000"/>
    <s v="02"/>
  </r>
  <r>
    <n v="1019"/>
    <x v="18"/>
    <x v="2"/>
    <x v="6"/>
    <s v="Electronics"/>
    <s v="Laptop"/>
    <n v="1"/>
    <n v="59000"/>
    <n v="59000"/>
    <s v="02"/>
  </r>
  <r>
    <n v="1020"/>
    <x v="19"/>
    <x v="3"/>
    <x v="7"/>
    <s v="Clothing"/>
    <s v="T-shirt"/>
    <n v="5"/>
    <n v="850"/>
    <n v="4250"/>
    <s v="02"/>
  </r>
  <r>
    <n v="1021"/>
    <x v="0"/>
    <x v="0"/>
    <x v="0"/>
    <s v="Electronics"/>
    <s v="Laptop"/>
    <n v="2"/>
    <n v="3500"/>
    <n v="7000"/>
    <s v="01"/>
  </r>
  <r>
    <n v="1022"/>
    <x v="1"/>
    <x v="1"/>
    <x v="1"/>
    <s v="Furniture"/>
    <s v="Chair"/>
    <n v="5"/>
    <n v="2600"/>
    <n v="13000"/>
    <s v="01"/>
  </r>
  <r>
    <n v="1023"/>
    <x v="2"/>
    <x v="2"/>
    <x v="2"/>
    <s v="Electronics"/>
    <s v="Smartphone"/>
    <n v="3"/>
    <n v="58000"/>
    <n v="174000"/>
    <s v="01"/>
  </r>
  <r>
    <n v="1024"/>
    <x v="3"/>
    <x v="3"/>
    <x v="3"/>
    <s v="Clothing"/>
    <s v="Jacket"/>
    <n v="4"/>
    <n v="11000"/>
    <n v="44000"/>
    <s v="01"/>
  </r>
  <r>
    <n v="1025"/>
    <x v="4"/>
    <x v="0"/>
    <x v="1"/>
    <s v="Furniture"/>
    <s v="Table"/>
    <n v="2"/>
    <n v="2200"/>
    <n v="4400"/>
    <s v="01"/>
  </r>
  <r>
    <n v="1026"/>
    <x v="5"/>
    <x v="1"/>
    <x v="4"/>
    <s v="Electronics"/>
    <s v="Headphones"/>
    <n v="6"/>
    <n v="3200"/>
    <n v="19200"/>
    <s v="01"/>
  </r>
  <r>
    <n v="1027"/>
    <x v="6"/>
    <x v="2"/>
    <x v="0"/>
    <s v="Clothing"/>
    <s v="Shoes"/>
    <n v="3"/>
    <n v="47000"/>
    <n v="141000"/>
    <s v="01"/>
  </r>
  <r>
    <n v="1028"/>
    <x v="7"/>
    <x v="3"/>
    <x v="5"/>
    <s v="Electronics"/>
    <s v="Laptop"/>
    <n v="1"/>
    <n v="59000"/>
    <n v="59000"/>
    <s v="01"/>
  </r>
  <r>
    <n v="1029"/>
    <x v="8"/>
    <x v="0"/>
    <x v="6"/>
    <s v="Furniture"/>
    <s v="Sofa"/>
    <n v="1"/>
    <n v="850"/>
    <n v="850"/>
    <s v="01"/>
  </r>
  <r>
    <n v="1030"/>
    <x v="9"/>
    <x v="1"/>
    <x v="2"/>
    <s v="Clothing"/>
    <s v="T-shirt"/>
    <n v="10"/>
    <n v="2500"/>
    <n v="25000"/>
    <s v="01"/>
  </r>
  <r>
    <n v="1031"/>
    <x v="10"/>
    <x v="2"/>
    <x v="7"/>
    <s v="Electronics"/>
    <s v="Smartphone"/>
    <n v="2"/>
    <n v="12000"/>
    <n v="24000"/>
    <s v="02"/>
  </r>
  <r>
    <n v="1032"/>
    <x v="11"/>
    <x v="3"/>
    <x v="1"/>
    <s v="Furniture"/>
    <s v="Chair"/>
    <n v="3"/>
    <n v="2000"/>
    <n v="6000"/>
    <s v="02"/>
  </r>
  <r>
    <n v="1033"/>
    <x v="12"/>
    <x v="0"/>
    <x v="8"/>
    <s v="Clothing"/>
    <s v="Jacket"/>
    <n v="2"/>
    <n v="3000"/>
    <n v="6000"/>
    <s v="02"/>
  </r>
  <r>
    <n v="1034"/>
    <x v="13"/>
    <x v="1"/>
    <x v="3"/>
    <s v="Electronics"/>
    <s v="Laptop"/>
    <n v="1"/>
    <n v="60000"/>
    <n v="60000"/>
    <s v="02"/>
  </r>
  <r>
    <n v="1035"/>
    <x v="14"/>
    <x v="2"/>
    <x v="9"/>
    <s v="Furniture"/>
    <s v="Table"/>
    <n v="1"/>
    <n v="45000"/>
    <n v="45000"/>
    <s v="02"/>
  </r>
  <r>
    <n v="1036"/>
    <x v="15"/>
    <x v="3"/>
    <x v="0"/>
    <s v="Electronics"/>
    <s v="Headphones"/>
    <n v="4"/>
    <n v="800"/>
    <n v="3200"/>
    <s v="02"/>
  </r>
  <r>
    <n v="1037"/>
    <x v="16"/>
    <x v="0"/>
    <x v="4"/>
    <s v="Clothing"/>
    <s v="Shoes"/>
    <n v="2"/>
    <n v="21000"/>
    <n v="42000"/>
    <s v="02"/>
  </r>
  <r>
    <n v="1038"/>
    <x v="17"/>
    <x v="1"/>
    <x v="5"/>
    <s v="Furniture"/>
    <s v="Sofa"/>
    <n v="1"/>
    <n v="3500"/>
    <n v="3500"/>
    <s v="02"/>
  </r>
  <r>
    <n v="1039"/>
    <x v="18"/>
    <x v="2"/>
    <x v="6"/>
    <s v="Electronics"/>
    <s v="Laptop"/>
    <n v="1"/>
    <n v="2600"/>
    <n v="2600"/>
    <s v="02"/>
  </r>
  <r>
    <n v="1040"/>
    <x v="19"/>
    <x v="3"/>
    <x v="7"/>
    <s v="Clothing"/>
    <s v="T-shirt"/>
    <n v="5"/>
    <n v="58000"/>
    <n v="290000"/>
    <s v="02"/>
  </r>
  <r>
    <n v="1041"/>
    <x v="0"/>
    <x v="0"/>
    <x v="0"/>
    <s v="Electronics"/>
    <s v="Laptop"/>
    <n v="2"/>
    <n v="11000"/>
    <n v="22000"/>
    <s v="01"/>
  </r>
  <r>
    <n v="1042"/>
    <x v="1"/>
    <x v="1"/>
    <x v="1"/>
    <s v="Furniture"/>
    <s v="Chair"/>
    <n v="5"/>
    <n v="2200"/>
    <n v="11000"/>
    <s v="01"/>
  </r>
  <r>
    <n v="1043"/>
    <x v="2"/>
    <x v="2"/>
    <x v="2"/>
    <s v="Electronics"/>
    <s v="Smartphone"/>
    <n v="3"/>
    <n v="55000"/>
    <n v="165000"/>
    <s v="01"/>
  </r>
  <r>
    <n v="1044"/>
    <x v="3"/>
    <x v="3"/>
    <x v="3"/>
    <s v="Clothing"/>
    <s v="Jacket"/>
    <n v="4"/>
    <n v="3500"/>
    <n v="14000"/>
    <s v="01"/>
  </r>
  <r>
    <n v="1045"/>
    <x v="4"/>
    <x v="0"/>
    <x v="1"/>
    <s v="Furniture"/>
    <s v="Table"/>
    <n v="2"/>
    <n v="22000"/>
    <n v="44000"/>
    <s v="01"/>
  </r>
  <r>
    <n v="1046"/>
    <x v="5"/>
    <x v="1"/>
    <x v="4"/>
    <s v="Electronics"/>
    <s v="Headphones"/>
    <n v="6"/>
    <n v="2500"/>
    <n v="15000"/>
    <s v="01"/>
  </r>
  <r>
    <n v="1047"/>
    <x v="6"/>
    <x v="2"/>
    <x v="0"/>
    <s v="Clothing"/>
    <s v="Shoes"/>
    <n v="3"/>
    <n v="12000"/>
    <n v="36000"/>
    <s v="01"/>
  </r>
  <r>
    <n v="1048"/>
    <x v="7"/>
    <x v="3"/>
    <x v="5"/>
    <s v="Electronics"/>
    <s v="Laptop"/>
    <n v="1"/>
    <n v="2000"/>
    <n v="2000"/>
    <s v="01"/>
  </r>
  <r>
    <n v="1049"/>
    <x v="8"/>
    <x v="0"/>
    <x v="6"/>
    <s v="Furniture"/>
    <s v="Sofa"/>
    <n v="1"/>
    <n v="3000"/>
    <n v="3000"/>
    <s v="01"/>
  </r>
  <r>
    <n v="1050"/>
    <x v="9"/>
    <x v="1"/>
    <x v="2"/>
    <s v="Clothing"/>
    <s v="T-shirt"/>
    <n v="10"/>
    <n v="60000"/>
    <n v="600000"/>
    <s v="01"/>
  </r>
  <r>
    <n v="1051"/>
    <x v="10"/>
    <x v="2"/>
    <x v="7"/>
    <s v="Electronics"/>
    <s v="Smartphone"/>
    <n v="2"/>
    <n v="45000"/>
    <n v="90000"/>
    <s v="02"/>
  </r>
  <r>
    <n v="1052"/>
    <x v="11"/>
    <x v="3"/>
    <x v="1"/>
    <s v="Furniture"/>
    <s v="Chair"/>
    <n v="3"/>
    <n v="800"/>
    <n v="2400"/>
    <s v="02"/>
  </r>
  <r>
    <n v="1053"/>
    <x v="12"/>
    <x v="0"/>
    <x v="8"/>
    <s v="Clothing"/>
    <s v="Jacket"/>
    <n v="2"/>
    <n v="21000"/>
    <n v="42000"/>
    <s v="02"/>
  </r>
  <r>
    <n v="1054"/>
    <x v="13"/>
    <x v="1"/>
    <x v="3"/>
    <s v="Electronics"/>
    <s v="Laptop"/>
    <n v="1"/>
    <n v="3500"/>
    <n v="3500"/>
    <s v="02"/>
  </r>
  <r>
    <n v="1055"/>
    <x v="14"/>
    <x v="2"/>
    <x v="9"/>
    <s v="Furniture"/>
    <s v="Table"/>
    <n v="1"/>
    <n v="2600"/>
    <n v="2600"/>
    <s v="02"/>
  </r>
  <r>
    <n v="1056"/>
    <x v="15"/>
    <x v="3"/>
    <x v="0"/>
    <s v="Electronics"/>
    <s v="Headphones"/>
    <n v="4"/>
    <n v="58000"/>
    <n v="232000"/>
    <s v="02"/>
  </r>
  <r>
    <n v="1057"/>
    <x v="16"/>
    <x v="0"/>
    <x v="4"/>
    <s v="Clothing"/>
    <s v="Shoes"/>
    <n v="2"/>
    <n v="11000"/>
    <n v="22000"/>
    <s v="02"/>
  </r>
  <r>
    <n v="1058"/>
    <x v="17"/>
    <x v="1"/>
    <x v="5"/>
    <s v="Furniture"/>
    <s v="Sofa"/>
    <n v="1"/>
    <n v="2200"/>
    <n v="2200"/>
    <s v="02"/>
  </r>
  <r>
    <n v="1059"/>
    <x v="18"/>
    <x v="2"/>
    <x v="6"/>
    <s v="Electronics"/>
    <s v="Laptop"/>
    <n v="1"/>
    <n v="3200"/>
    <n v="3200"/>
    <s v="02"/>
  </r>
  <r>
    <n v="1060"/>
    <x v="19"/>
    <x v="3"/>
    <x v="7"/>
    <s v="Clothing"/>
    <s v="T-shirt"/>
    <n v="5"/>
    <n v="47000"/>
    <n v="235000"/>
    <s v="02"/>
  </r>
  <r>
    <n v="1061"/>
    <x v="0"/>
    <x v="0"/>
    <x v="0"/>
    <s v="Electronics"/>
    <s v="Laptop"/>
    <n v="2"/>
    <n v="59000"/>
    <n v="118000"/>
    <s v="01"/>
  </r>
  <r>
    <n v="1062"/>
    <x v="1"/>
    <x v="1"/>
    <x v="1"/>
    <s v="Furniture"/>
    <s v="Chair"/>
    <n v="5"/>
    <n v="850"/>
    <n v="4250"/>
    <s v="01"/>
  </r>
  <r>
    <n v="1063"/>
    <x v="2"/>
    <x v="2"/>
    <x v="2"/>
    <s v="Electronics"/>
    <s v="Smartphone"/>
    <n v="3"/>
    <n v="3500"/>
    <n v="10500"/>
    <s v="01"/>
  </r>
  <r>
    <n v="1064"/>
    <x v="3"/>
    <x v="3"/>
    <x v="3"/>
    <s v="Clothing"/>
    <s v="Jacket"/>
    <n v="4"/>
    <n v="2600"/>
    <n v="10400"/>
    <s v="01"/>
  </r>
  <r>
    <n v="1065"/>
    <x v="4"/>
    <x v="0"/>
    <x v="1"/>
    <s v="Furniture"/>
    <s v="Table"/>
    <n v="2"/>
    <n v="58000"/>
    <n v="116000"/>
    <s v="01"/>
  </r>
  <r>
    <n v="1066"/>
    <x v="5"/>
    <x v="1"/>
    <x v="4"/>
    <s v="Electronics"/>
    <s v="Headphones"/>
    <n v="6"/>
    <n v="11000"/>
    <n v="66000"/>
    <s v="01"/>
  </r>
  <r>
    <n v="1067"/>
    <x v="6"/>
    <x v="2"/>
    <x v="0"/>
    <s v="Clothing"/>
    <s v="Shoes"/>
    <n v="3"/>
    <n v="2200"/>
    <n v="6600"/>
    <s v="01"/>
  </r>
  <r>
    <n v="1068"/>
    <x v="7"/>
    <x v="3"/>
    <x v="5"/>
    <s v="Electronics"/>
    <s v="Laptop"/>
    <n v="1"/>
    <n v="3200"/>
    <n v="3200"/>
    <s v="01"/>
  </r>
  <r>
    <n v="1069"/>
    <x v="8"/>
    <x v="0"/>
    <x v="6"/>
    <s v="Furniture"/>
    <s v="Sofa"/>
    <n v="1"/>
    <n v="47000"/>
    <n v="47000"/>
    <s v="01"/>
  </r>
  <r>
    <n v="1070"/>
    <x v="9"/>
    <x v="1"/>
    <x v="2"/>
    <s v="Clothing"/>
    <s v="T-shirt"/>
    <n v="10"/>
    <n v="59000"/>
    <n v="590000"/>
    <s v="01"/>
  </r>
  <r>
    <n v="1071"/>
    <x v="10"/>
    <x v="2"/>
    <x v="7"/>
    <s v="Electronics"/>
    <s v="Smartphone"/>
    <n v="2"/>
    <n v="850"/>
    <n v="1700"/>
    <s v="02"/>
  </r>
  <r>
    <n v="1072"/>
    <x v="11"/>
    <x v="3"/>
    <x v="1"/>
    <s v="Furniture"/>
    <s v="Chair"/>
    <n v="3"/>
    <n v="2500"/>
    <n v="7500"/>
    <s v="02"/>
  </r>
  <r>
    <n v="1073"/>
    <x v="12"/>
    <x v="0"/>
    <x v="8"/>
    <s v="Clothing"/>
    <s v="Jacket"/>
    <n v="2"/>
    <n v="12000"/>
    <n v="24000"/>
    <s v="02"/>
  </r>
  <r>
    <n v="1074"/>
    <x v="13"/>
    <x v="1"/>
    <x v="3"/>
    <s v="Electronics"/>
    <s v="Laptop"/>
    <n v="1"/>
    <n v="2000"/>
    <n v="2000"/>
    <s v="02"/>
  </r>
  <r>
    <n v="1075"/>
    <x v="14"/>
    <x v="2"/>
    <x v="9"/>
    <s v="Furniture"/>
    <s v="Table"/>
    <n v="1"/>
    <n v="3000"/>
    <n v="3000"/>
    <s v="02"/>
  </r>
  <r>
    <n v="1076"/>
    <x v="15"/>
    <x v="3"/>
    <x v="0"/>
    <s v="Electronics"/>
    <s v="Headphones"/>
    <n v="4"/>
    <n v="60000"/>
    <n v="240000"/>
    <s v="02"/>
  </r>
  <r>
    <n v="1077"/>
    <x v="16"/>
    <x v="0"/>
    <x v="4"/>
    <s v="Clothing"/>
    <s v="Shoes"/>
    <n v="2"/>
    <n v="45000"/>
    <n v="90000"/>
    <s v="02"/>
  </r>
  <r>
    <n v="1078"/>
    <x v="17"/>
    <x v="1"/>
    <x v="5"/>
    <s v="Furniture"/>
    <s v="Sofa"/>
    <n v="1"/>
    <n v="800"/>
    <n v="800"/>
    <s v="02"/>
  </r>
  <r>
    <n v="1079"/>
    <x v="18"/>
    <x v="2"/>
    <x v="6"/>
    <s v="Electronics"/>
    <s v="Laptop"/>
    <n v="1"/>
    <n v="21000"/>
    <n v="21000"/>
    <s v="02"/>
  </r>
  <r>
    <n v="1080"/>
    <x v="19"/>
    <x v="3"/>
    <x v="7"/>
    <s v="Clothing"/>
    <s v="T-shirt"/>
    <n v="5"/>
    <n v="3500"/>
    <n v="17500"/>
    <s v="02"/>
  </r>
  <r>
    <n v="1081"/>
    <x v="0"/>
    <x v="0"/>
    <x v="0"/>
    <s v="Electronics"/>
    <s v="Laptop"/>
    <n v="2"/>
    <n v="2600"/>
    <n v="5200"/>
    <s v="01"/>
  </r>
  <r>
    <n v="1082"/>
    <x v="1"/>
    <x v="1"/>
    <x v="1"/>
    <s v="Furniture"/>
    <s v="Chair"/>
    <n v="5"/>
    <n v="58000"/>
    <n v="290000"/>
    <s v="01"/>
  </r>
  <r>
    <n v="1083"/>
    <x v="2"/>
    <x v="2"/>
    <x v="2"/>
    <s v="Electronics"/>
    <s v="Smartphone"/>
    <n v="3"/>
    <n v="11000"/>
    <n v="33000"/>
    <s v="01"/>
  </r>
  <r>
    <n v="1084"/>
    <x v="3"/>
    <x v="3"/>
    <x v="3"/>
    <s v="Clothing"/>
    <s v="Jacket"/>
    <n v="4"/>
    <n v="2200"/>
    <n v="8800"/>
    <s v="01"/>
  </r>
  <r>
    <n v="1085"/>
    <x v="4"/>
    <x v="0"/>
    <x v="1"/>
    <s v="Furniture"/>
    <s v="Table"/>
    <n v="2"/>
    <n v="55000"/>
    <n v="110000"/>
    <s v="01"/>
  </r>
  <r>
    <n v="1086"/>
    <x v="5"/>
    <x v="1"/>
    <x v="4"/>
    <s v="Electronics"/>
    <s v="Headphones"/>
    <n v="6"/>
    <n v="3500"/>
    <n v="21000"/>
    <s v="01"/>
  </r>
  <r>
    <n v="1087"/>
    <x v="6"/>
    <x v="2"/>
    <x v="0"/>
    <s v="Clothing"/>
    <s v="Shoes"/>
    <n v="3"/>
    <n v="22000"/>
    <n v="66000"/>
    <s v="01"/>
  </r>
  <r>
    <n v="1088"/>
    <x v="7"/>
    <x v="3"/>
    <x v="5"/>
    <s v="Electronics"/>
    <s v="Laptop"/>
    <n v="1"/>
    <n v="2500"/>
    <n v="2500"/>
    <s v="01"/>
  </r>
  <r>
    <n v="1089"/>
    <x v="8"/>
    <x v="0"/>
    <x v="6"/>
    <s v="Furniture"/>
    <s v="Sofa"/>
    <n v="1"/>
    <n v="12000"/>
    <n v="12000"/>
    <s v="01"/>
  </r>
  <r>
    <n v="1090"/>
    <x v="9"/>
    <x v="1"/>
    <x v="2"/>
    <s v="Clothing"/>
    <s v="T-shirt"/>
    <n v="10"/>
    <n v="2000"/>
    <n v="20000"/>
    <s v="01"/>
  </r>
  <r>
    <n v="1091"/>
    <x v="10"/>
    <x v="2"/>
    <x v="7"/>
    <s v="Electronics"/>
    <s v="Smartphone"/>
    <n v="2"/>
    <n v="3000"/>
    <n v="6000"/>
    <s v="02"/>
  </r>
  <r>
    <n v="1092"/>
    <x v="11"/>
    <x v="3"/>
    <x v="1"/>
    <s v="Furniture"/>
    <s v="Chair"/>
    <n v="3"/>
    <n v="60000"/>
    <n v="180000"/>
    <s v="02"/>
  </r>
  <r>
    <n v="1093"/>
    <x v="12"/>
    <x v="0"/>
    <x v="8"/>
    <s v="Clothing"/>
    <s v="Jacket"/>
    <n v="2"/>
    <n v="45000"/>
    <n v="90000"/>
    <s v="02"/>
  </r>
  <r>
    <n v="1094"/>
    <x v="13"/>
    <x v="1"/>
    <x v="3"/>
    <s v="Electronics"/>
    <s v="Laptop"/>
    <n v="1"/>
    <n v="800"/>
    <n v="800"/>
    <s v="02"/>
  </r>
  <r>
    <n v="1095"/>
    <x v="14"/>
    <x v="2"/>
    <x v="9"/>
    <s v="Furniture"/>
    <s v="Table"/>
    <n v="1"/>
    <n v="21000"/>
    <n v="21000"/>
    <s v="02"/>
  </r>
  <r>
    <n v="1096"/>
    <x v="15"/>
    <x v="3"/>
    <x v="0"/>
    <s v="Electronics"/>
    <s v="Headphones"/>
    <n v="4"/>
    <n v="3500"/>
    <n v="14000"/>
    <s v="02"/>
  </r>
  <r>
    <n v="1097"/>
    <x v="16"/>
    <x v="0"/>
    <x v="4"/>
    <s v="Clothing"/>
    <s v="Shoes"/>
    <n v="2"/>
    <n v="2600"/>
    <n v="5200"/>
    <s v="02"/>
  </r>
  <r>
    <n v="1098"/>
    <x v="17"/>
    <x v="1"/>
    <x v="5"/>
    <s v="Furniture"/>
    <s v="Sofa"/>
    <n v="1"/>
    <n v="58000"/>
    <n v="58000"/>
    <s v="02"/>
  </r>
  <r>
    <n v="1099"/>
    <x v="18"/>
    <x v="2"/>
    <x v="6"/>
    <s v="Electronics"/>
    <s v="Laptop"/>
    <n v="1"/>
    <n v="11000"/>
    <n v="11000"/>
    <s v="02"/>
  </r>
  <r>
    <n v="1100"/>
    <x v="19"/>
    <x v="3"/>
    <x v="7"/>
    <s v="Clothing"/>
    <s v="T-shirt"/>
    <n v="5"/>
    <n v="2200"/>
    <n v="11000"/>
    <s v="02"/>
  </r>
  <r>
    <n v="1101"/>
    <x v="0"/>
    <x v="0"/>
    <x v="0"/>
    <s v="Electronics"/>
    <s v="Laptop"/>
    <n v="2"/>
    <n v="3200"/>
    <n v="6400"/>
    <s v="01"/>
  </r>
  <r>
    <n v="1102"/>
    <x v="1"/>
    <x v="1"/>
    <x v="1"/>
    <s v="Furniture"/>
    <s v="Chair"/>
    <n v="5"/>
    <n v="47000"/>
    <n v="235000"/>
    <s v="01"/>
  </r>
  <r>
    <n v="1103"/>
    <x v="2"/>
    <x v="2"/>
    <x v="2"/>
    <s v="Electronics"/>
    <s v="Smartphone"/>
    <n v="3"/>
    <n v="59000"/>
    <n v="177000"/>
    <s v="01"/>
  </r>
  <r>
    <n v="1104"/>
    <x v="3"/>
    <x v="3"/>
    <x v="3"/>
    <s v="Clothing"/>
    <s v="Jacket"/>
    <n v="4"/>
    <n v="850"/>
    <n v="3400"/>
    <s v="01"/>
  </r>
  <r>
    <n v="1105"/>
    <x v="4"/>
    <x v="0"/>
    <x v="1"/>
    <s v="Furniture"/>
    <s v="Table"/>
    <n v="2"/>
    <n v="3500"/>
    <n v="7000"/>
    <s v="01"/>
  </r>
  <r>
    <n v="1106"/>
    <x v="5"/>
    <x v="1"/>
    <x v="4"/>
    <s v="Electronics"/>
    <s v="Headphones"/>
    <n v="6"/>
    <n v="2600"/>
    <n v="15600"/>
    <s v="01"/>
  </r>
  <r>
    <n v="1107"/>
    <x v="6"/>
    <x v="2"/>
    <x v="0"/>
    <s v="Clothing"/>
    <s v="Shoes"/>
    <n v="3"/>
    <n v="58000"/>
    <n v="174000"/>
    <s v="01"/>
  </r>
  <r>
    <n v="1108"/>
    <x v="7"/>
    <x v="3"/>
    <x v="5"/>
    <s v="Electronics"/>
    <s v="Laptop"/>
    <n v="1"/>
    <n v="11000"/>
    <n v="11000"/>
    <s v="01"/>
  </r>
  <r>
    <n v="1109"/>
    <x v="8"/>
    <x v="0"/>
    <x v="6"/>
    <s v="Furniture"/>
    <s v="Sofa"/>
    <n v="1"/>
    <n v="2200"/>
    <n v="2200"/>
    <s v="01"/>
  </r>
  <r>
    <n v="1110"/>
    <x v="9"/>
    <x v="1"/>
    <x v="2"/>
    <s v="Clothing"/>
    <s v="T-shirt"/>
    <n v="10"/>
    <n v="3200"/>
    <n v="32000"/>
    <s v="01"/>
  </r>
  <r>
    <n v="1111"/>
    <x v="10"/>
    <x v="2"/>
    <x v="7"/>
    <s v="Electronics"/>
    <s v="Smartphone"/>
    <n v="2"/>
    <n v="47000"/>
    <n v="94000"/>
    <s v="02"/>
  </r>
  <r>
    <n v="1112"/>
    <x v="11"/>
    <x v="3"/>
    <x v="1"/>
    <s v="Furniture"/>
    <s v="Chair"/>
    <n v="3"/>
    <n v="59000"/>
    <n v="177000"/>
    <s v="02"/>
  </r>
  <r>
    <n v="1113"/>
    <x v="12"/>
    <x v="0"/>
    <x v="8"/>
    <s v="Clothing"/>
    <s v="Jacket"/>
    <n v="2"/>
    <n v="850"/>
    <n v="1700"/>
    <s v="02"/>
  </r>
  <r>
    <n v="1114"/>
    <x v="13"/>
    <x v="1"/>
    <x v="3"/>
    <s v="Electronics"/>
    <s v="Laptop"/>
    <n v="1"/>
    <n v="2500"/>
    <n v="2500"/>
    <s v="02"/>
  </r>
  <r>
    <n v="1115"/>
    <x v="14"/>
    <x v="2"/>
    <x v="9"/>
    <s v="Furniture"/>
    <s v="Table"/>
    <n v="1"/>
    <n v="12000"/>
    <n v="12000"/>
    <s v="02"/>
  </r>
  <r>
    <n v="1116"/>
    <x v="15"/>
    <x v="3"/>
    <x v="0"/>
    <s v="Electronics"/>
    <s v="Headphones"/>
    <n v="4"/>
    <n v="2000"/>
    <n v="8000"/>
    <s v="02"/>
  </r>
  <r>
    <n v="1117"/>
    <x v="16"/>
    <x v="0"/>
    <x v="4"/>
    <s v="Clothing"/>
    <s v="Shoes"/>
    <n v="2"/>
    <n v="3000"/>
    <n v="6000"/>
    <s v="02"/>
  </r>
  <r>
    <n v="1118"/>
    <x v="17"/>
    <x v="1"/>
    <x v="5"/>
    <s v="Furniture"/>
    <s v="Sofa"/>
    <n v="1"/>
    <n v="60000"/>
    <n v="60000"/>
    <s v="02"/>
  </r>
  <r>
    <n v="1119"/>
    <x v="18"/>
    <x v="2"/>
    <x v="6"/>
    <s v="Electronics"/>
    <s v="Laptop"/>
    <n v="1"/>
    <n v="45000"/>
    <n v="45000"/>
    <s v="02"/>
  </r>
  <r>
    <n v="1120"/>
    <x v="19"/>
    <x v="3"/>
    <x v="7"/>
    <s v="Clothing"/>
    <s v="T-shirt"/>
    <n v="5"/>
    <n v="800"/>
    <n v="4000"/>
    <s v="02"/>
  </r>
  <r>
    <n v="1121"/>
    <x v="0"/>
    <x v="0"/>
    <x v="0"/>
    <s v="Electronics"/>
    <s v="Laptop"/>
    <n v="2"/>
    <n v="21000"/>
    <n v="42000"/>
    <s v="01"/>
  </r>
  <r>
    <n v="1122"/>
    <x v="1"/>
    <x v="1"/>
    <x v="1"/>
    <s v="Furniture"/>
    <s v="Chair"/>
    <n v="5"/>
    <n v="3500"/>
    <n v="17500"/>
    <s v="01"/>
  </r>
  <r>
    <n v="1123"/>
    <x v="2"/>
    <x v="2"/>
    <x v="2"/>
    <s v="Electronics"/>
    <s v="Smartphone"/>
    <n v="3"/>
    <n v="2600"/>
    <n v="7800"/>
    <s v="01"/>
  </r>
  <r>
    <n v="1124"/>
    <x v="3"/>
    <x v="3"/>
    <x v="3"/>
    <s v="Clothing"/>
    <s v="Jacket"/>
    <n v="4"/>
    <n v="58000"/>
    <n v="232000"/>
    <s v="01"/>
  </r>
  <r>
    <n v="1125"/>
    <x v="4"/>
    <x v="0"/>
    <x v="1"/>
    <s v="Furniture"/>
    <s v="Table"/>
    <n v="2"/>
    <n v="11000"/>
    <n v="22000"/>
    <s v="01"/>
  </r>
  <r>
    <n v="1126"/>
    <x v="5"/>
    <x v="1"/>
    <x v="4"/>
    <s v="Electronics"/>
    <s v="Headphones"/>
    <n v="6"/>
    <n v="2200"/>
    <n v="13200"/>
    <s v="01"/>
  </r>
  <r>
    <n v="1127"/>
    <x v="6"/>
    <x v="2"/>
    <x v="0"/>
    <s v="Clothing"/>
    <s v="Shoes"/>
    <n v="3"/>
    <n v="55000"/>
    <n v="165000"/>
    <s v="01"/>
  </r>
  <r>
    <n v="1128"/>
    <x v="7"/>
    <x v="3"/>
    <x v="5"/>
    <s v="Electronics"/>
    <s v="Laptop"/>
    <n v="1"/>
    <n v="3500"/>
    <n v="3500"/>
    <s v="01"/>
  </r>
  <r>
    <n v="1129"/>
    <x v="8"/>
    <x v="0"/>
    <x v="6"/>
    <s v="Furniture"/>
    <s v="Sofa"/>
    <n v="1"/>
    <n v="22000"/>
    <n v="22000"/>
    <s v="01"/>
  </r>
  <r>
    <n v="1130"/>
    <x v="9"/>
    <x v="1"/>
    <x v="2"/>
    <s v="Clothing"/>
    <s v="T-shirt"/>
    <n v="10"/>
    <n v="2500"/>
    <n v="25000"/>
    <s v="01"/>
  </r>
  <r>
    <n v="1131"/>
    <x v="10"/>
    <x v="2"/>
    <x v="7"/>
    <s v="Electronics"/>
    <s v="Smartphone"/>
    <n v="2"/>
    <n v="12000"/>
    <n v="24000"/>
    <s v="02"/>
  </r>
  <r>
    <n v="1132"/>
    <x v="11"/>
    <x v="3"/>
    <x v="1"/>
    <s v="Furniture"/>
    <s v="Chair"/>
    <n v="3"/>
    <n v="2000"/>
    <n v="6000"/>
    <s v="02"/>
  </r>
  <r>
    <n v="1133"/>
    <x v="12"/>
    <x v="0"/>
    <x v="8"/>
    <s v="Clothing"/>
    <s v="Jacket"/>
    <n v="2"/>
    <n v="3000"/>
    <n v="6000"/>
    <s v="02"/>
  </r>
  <r>
    <n v="1134"/>
    <x v="13"/>
    <x v="1"/>
    <x v="3"/>
    <s v="Electronics"/>
    <s v="Laptop"/>
    <n v="1"/>
    <n v="60000"/>
    <n v="60000"/>
    <s v="02"/>
  </r>
  <r>
    <n v="1135"/>
    <x v="14"/>
    <x v="2"/>
    <x v="9"/>
    <s v="Furniture"/>
    <s v="Table"/>
    <n v="1"/>
    <n v="45000"/>
    <n v="45000"/>
    <s v="02"/>
  </r>
  <r>
    <n v="1136"/>
    <x v="15"/>
    <x v="3"/>
    <x v="0"/>
    <s v="Electronics"/>
    <s v="Headphones"/>
    <n v="4"/>
    <n v="800"/>
    <n v="3200"/>
    <s v="02"/>
  </r>
  <r>
    <n v="1137"/>
    <x v="16"/>
    <x v="0"/>
    <x v="4"/>
    <s v="Clothing"/>
    <s v="Shoes"/>
    <n v="2"/>
    <n v="21000"/>
    <n v="42000"/>
    <s v="02"/>
  </r>
  <r>
    <n v="1138"/>
    <x v="17"/>
    <x v="1"/>
    <x v="5"/>
    <s v="Furniture"/>
    <s v="Sofa"/>
    <n v="1"/>
    <n v="3500"/>
    <n v="3500"/>
    <s v="02"/>
  </r>
  <r>
    <n v="1139"/>
    <x v="18"/>
    <x v="2"/>
    <x v="6"/>
    <s v="Electronics"/>
    <s v="Laptop"/>
    <n v="1"/>
    <n v="2600"/>
    <n v="2600"/>
    <s v="02"/>
  </r>
  <r>
    <n v="1140"/>
    <x v="19"/>
    <x v="3"/>
    <x v="7"/>
    <s v="Clothing"/>
    <s v="T-shirt"/>
    <n v="5"/>
    <n v="58000"/>
    <n v="290000"/>
    <s v="02"/>
  </r>
  <r>
    <n v="1141"/>
    <x v="0"/>
    <x v="0"/>
    <x v="0"/>
    <s v="Electronics"/>
    <s v="Laptop"/>
    <n v="2"/>
    <n v="11000"/>
    <n v="22000"/>
    <s v="01"/>
  </r>
  <r>
    <n v="1142"/>
    <x v="1"/>
    <x v="1"/>
    <x v="1"/>
    <s v="Furniture"/>
    <s v="Chair"/>
    <n v="5"/>
    <n v="2200"/>
    <n v="11000"/>
    <s v="01"/>
  </r>
  <r>
    <n v="1143"/>
    <x v="2"/>
    <x v="2"/>
    <x v="2"/>
    <s v="Electronics"/>
    <s v="Smartphone"/>
    <n v="3"/>
    <n v="3200"/>
    <n v="9600"/>
    <s v="01"/>
  </r>
  <r>
    <n v="1144"/>
    <x v="3"/>
    <x v="3"/>
    <x v="3"/>
    <s v="Clothing"/>
    <s v="Jacket"/>
    <n v="4"/>
    <n v="47000"/>
    <n v="188000"/>
    <s v="01"/>
  </r>
  <r>
    <n v="1145"/>
    <x v="4"/>
    <x v="0"/>
    <x v="1"/>
    <s v="Furniture"/>
    <s v="Table"/>
    <n v="2"/>
    <n v="59000"/>
    <n v="118000"/>
    <s v="01"/>
  </r>
  <r>
    <n v="1146"/>
    <x v="5"/>
    <x v="1"/>
    <x v="4"/>
    <s v="Electronics"/>
    <s v="Headphones"/>
    <n v="6"/>
    <n v="850"/>
    <n v="5100"/>
    <s v="01"/>
  </r>
  <r>
    <n v="1147"/>
    <x v="6"/>
    <x v="2"/>
    <x v="0"/>
    <s v="Clothing"/>
    <s v="Shoes"/>
    <n v="3"/>
    <n v="3500"/>
    <n v="10500"/>
    <s v="01"/>
  </r>
  <r>
    <n v="1148"/>
    <x v="7"/>
    <x v="3"/>
    <x v="5"/>
    <s v="Electronics"/>
    <s v="Laptop"/>
    <n v="1"/>
    <n v="2600"/>
    <n v="2600"/>
    <s v="01"/>
  </r>
  <r>
    <n v="1149"/>
    <x v="8"/>
    <x v="0"/>
    <x v="6"/>
    <s v="Furniture"/>
    <s v="Sofa"/>
    <n v="1"/>
    <n v="58000"/>
    <n v="58000"/>
    <s v="01"/>
  </r>
  <r>
    <n v="1150"/>
    <x v="9"/>
    <x v="1"/>
    <x v="2"/>
    <s v="Clothing"/>
    <s v="T-shirt"/>
    <n v="10"/>
    <n v="11000"/>
    <n v="110000"/>
    <s v="01"/>
  </r>
  <r>
    <n v="1151"/>
    <x v="10"/>
    <x v="2"/>
    <x v="7"/>
    <s v="Electronics"/>
    <s v="Smartphone"/>
    <n v="2"/>
    <n v="2200"/>
    <n v="4400"/>
    <s v="02"/>
  </r>
  <r>
    <n v="1152"/>
    <x v="11"/>
    <x v="3"/>
    <x v="1"/>
    <s v="Furniture"/>
    <s v="Chair"/>
    <n v="3"/>
    <n v="3200"/>
    <n v="9600"/>
    <s v="02"/>
  </r>
  <r>
    <n v="1153"/>
    <x v="12"/>
    <x v="0"/>
    <x v="8"/>
    <s v="Clothing"/>
    <s v="Jacket"/>
    <n v="2"/>
    <n v="47000"/>
    <n v="94000"/>
    <s v="02"/>
  </r>
  <r>
    <n v="1154"/>
    <x v="13"/>
    <x v="1"/>
    <x v="3"/>
    <s v="Electronics"/>
    <s v="Laptop"/>
    <n v="1"/>
    <n v="59000"/>
    <n v="59000"/>
    <s v="02"/>
  </r>
  <r>
    <n v="1155"/>
    <x v="14"/>
    <x v="2"/>
    <x v="9"/>
    <s v="Furniture"/>
    <s v="Table"/>
    <n v="1"/>
    <n v="850"/>
    <n v="850"/>
    <s v="02"/>
  </r>
  <r>
    <n v="1156"/>
    <x v="15"/>
    <x v="3"/>
    <x v="0"/>
    <s v="Electronics"/>
    <s v="Headphones"/>
    <n v="4"/>
    <n v="2500"/>
    <n v="10000"/>
    <s v="02"/>
  </r>
  <r>
    <n v="1157"/>
    <x v="16"/>
    <x v="0"/>
    <x v="4"/>
    <s v="Clothing"/>
    <s v="Shoes"/>
    <n v="2"/>
    <n v="12000"/>
    <n v="24000"/>
    <s v="02"/>
  </r>
  <r>
    <n v="1158"/>
    <x v="17"/>
    <x v="1"/>
    <x v="5"/>
    <s v="Furniture"/>
    <s v="Sofa"/>
    <n v="1"/>
    <n v="2000"/>
    <n v="2000"/>
    <s v="02"/>
  </r>
  <r>
    <n v="1159"/>
    <x v="18"/>
    <x v="2"/>
    <x v="6"/>
    <s v="Electronics"/>
    <s v="Laptop"/>
    <n v="1"/>
    <n v="3000"/>
    <n v="3000"/>
    <s v="02"/>
  </r>
  <r>
    <n v="1160"/>
    <x v="19"/>
    <x v="3"/>
    <x v="7"/>
    <s v="Clothing"/>
    <s v="T-shirt"/>
    <n v="5"/>
    <n v="60000"/>
    <n v="300000"/>
    <s v="02"/>
  </r>
  <r>
    <n v="1161"/>
    <x v="0"/>
    <x v="0"/>
    <x v="0"/>
    <s v="Electronics"/>
    <s v="Laptop"/>
    <n v="2"/>
    <n v="45000"/>
    <n v="90000"/>
    <s v="01"/>
  </r>
  <r>
    <n v="1162"/>
    <x v="1"/>
    <x v="1"/>
    <x v="1"/>
    <s v="Furniture"/>
    <s v="Chair"/>
    <n v="5"/>
    <n v="800"/>
    <n v="4000"/>
    <s v="01"/>
  </r>
  <r>
    <n v="1163"/>
    <x v="2"/>
    <x v="2"/>
    <x v="2"/>
    <s v="Electronics"/>
    <s v="Smartphone"/>
    <n v="3"/>
    <n v="21000"/>
    <n v="63000"/>
    <s v="01"/>
  </r>
  <r>
    <n v="1164"/>
    <x v="3"/>
    <x v="3"/>
    <x v="3"/>
    <s v="Clothing"/>
    <s v="Jacket"/>
    <n v="4"/>
    <n v="3500"/>
    <n v="14000"/>
    <s v="01"/>
  </r>
  <r>
    <n v="1165"/>
    <x v="4"/>
    <x v="0"/>
    <x v="1"/>
    <s v="Furniture"/>
    <s v="Table"/>
    <n v="2"/>
    <n v="2600"/>
    <n v="5200"/>
    <s v="01"/>
  </r>
  <r>
    <n v="1166"/>
    <x v="5"/>
    <x v="1"/>
    <x v="4"/>
    <s v="Electronics"/>
    <s v="Headphones"/>
    <n v="6"/>
    <n v="58000"/>
    <n v="348000"/>
    <s v="01"/>
  </r>
  <r>
    <n v="1167"/>
    <x v="6"/>
    <x v="2"/>
    <x v="0"/>
    <s v="Clothing"/>
    <s v="Shoes"/>
    <n v="3"/>
    <n v="11000"/>
    <n v="33000"/>
    <s v="01"/>
  </r>
  <r>
    <n v="1168"/>
    <x v="7"/>
    <x v="3"/>
    <x v="5"/>
    <s v="Electronics"/>
    <s v="Laptop"/>
    <n v="1"/>
    <n v="2200"/>
    <n v="2200"/>
    <s v="01"/>
  </r>
  <r>
    <n v="1169"/>
    <x v="8"/>
    <x v="0"/>
    <x v="6"/>
    <s v="Furniture"/>
    <s v="Sofa"/>
    <n v="1"/>
    <n v="55000"/>
    <n v="55000"/>
    <s v="01"/>
  </r>
  <r>
    <n v="1170"/>
    <x v="9"/>
    <x v="1"/>
    <x v="2"/>
    <s v="Clothing"/>
    <s v="T-shirt"/>
    <n v="10"/>
    <n v="3500"/>
    <n v="35000"/>
    <s v="01"/>
  </r>
  <r>
    <n v="1171"/>
    <x v="10"/>
    <x v="2"/>
    <x v="7"/>
    <s v="Electronics"/>
    <s v="Smartphone"/>
    <n v="2"/>
    <n v="22000"/>
    <n v="44000"/>
    <s v="02"/>
  </r>
  <r>
    <n v="1172"/>
    <x v="11"/>
    <x v="3"/>
    <x v="1"/>
    <s v="Furniture"/>
    <s v="Chair"/>
    <n v="3"/>
    <n v="2500"/>
    <n v="7500"/>
    <s v="02"/>
  </r>
  <r>
    <n v="1173"/>
    <x v="12"/>
    <x v="0"/>
    <x v="8"/>
    <s v="Clothing"/>
    <s v="Jacket"/>
    <n v="2"/>
    <n v="12000"/>
    <n v="24000"/>
    <s v="02"/>
  </r>
  <r>
    <n v="1174"/>
    <x v="13"/>
    <x v="1"/>
    <x v="3"/>
    <s v="Electronics"/>
    <s v="Laptop"/>
    <n v="1"/>
    <n v="2000"/>
    <n v="2000"/>
    <s v="02"/>
  </r>
  <r>
    <n v="1175"/>
    <x v="14"/>
    <x v="2"/>
    <x v="9"/>
    <s v="Furniture"/>
    <s v="Table"/>
    <n v="1"/>
    <n v="3000"/>
    <n v="3000"/>
    <s v="02"/>
  </r>
  <r>
    <n v="1176"/>
    <x v="15"/>
    <x v="3"/>
    <x v="0"/>
    <s v="Electronics"/>
    <s v="Headphones"/>
    <n v="4"/>
    <n v="60000"/>
    <n v="240000"/>
    <s v="02"/>
  </r>
  <r>
    <n v="1177"/>
    <x v="16"/>
    <x v="0"/>
    <x v="4"/>
    <s v="Clothing"/>
    <s v="Shoes"/>
    <n v="2"/>
    <n v="45000"/>
    <n v="90000"/>
    <s v="02"/>
  </r>
  <r>
    <n v="1178"/>
    <x v="17"/>
    <x v="1"/>
    <x v="5"/>
    <s v="Furniture"/>
    <s v="Sofa"/>
    <n v="1"/>
    <n v="800"/>
    <n v="800"/>
    <s v="02"/>
  </r>
  <r>
    <n v="1179"/>
    <x v="18"/>
    <x v="2"/>
    <x v="6"/>
    <s v="Electronics"/>
    <s v="Laptop"/>
    <n v="1"/>
    <n v="21000"/>
    <n v="21000"/>
    <s v="02"/>
  </r>
  <r>
    <n v="1180"/>
    <x v="19"/>
    <x v="3"/>
    <x v="7"/>
    <s v="Clothing"/>
    <s v="T-shirt"/>
    <n v="5"/>
    <n v="3500"/>
    <n v="17500"/>
    <s v="02"/>
  </r>
  <r>
    <n v="1181"/>
    <x v="0"/>
    <x v="0"/>
    <x v="0"/>
    <s v="Electronics"/>
    <s v="Laptop"/>
    <n v="2"/>
    <n v="2600"/>
    <n v="5200"/>
    <s v="01"/>
  </r>
  <r>
    <n v="1182"/>
    <x v="1"/>
    <x v="1"/>
    <x v="1"/>
    <s v="Furniture"/>
    <s v="Chair"/>
    <n v="5"/>
    <n v="58000"/>
    <n v="290000"/>
    <s v="01"/>
  </r>
  <r>
    <n v="1183"/>
    <x v="2"/>
    <x v="2"/>
    <x v="2"/>
    <s v="Electronics"/>
    <s v="Smartphone"/>
    <n v="3"/>
    <n v="11000"/>
    <n v="33000"/>
    <s v="01"/>
  </r>
  <r>
    <n v="1184"/>
    <x v="3"/>
    <x v="3"/>
    <x v="3"/>
    <s v="Clothing"/>
    <s v="Jacket"/>
    <n v="4"/>
    <n v="2200"/>
    <n v="8800"/>
    <s v="01"/>
  </r>
  <r>
    <n v="1185"/>
    <x v="4"/>
    <x v="0"/>
    <x v="1"/>
    <s v="Furniture"/>
    <s v="Table"/>
    <n v="2"/>
    <n v="3200"/>
    <n v="6400"/>
    <s v="01"/>
  </r>
  <r>
    <n v="1186"/>
    <x v="5"/>
    <x v="1"/>
    <x v="4"/>
    <s v="Electronics"/>
    <s v="Headphones"/>
    <n v="6"/>
    <n v="47000"/>
    <n v="282000"/>
    <s v="01"/>
  </r>
  <r>
    <n v="1187"/>
    <x v="6"/>
    <x v="2"/>
    <x v="0"/>
    <s v="Clothing"/>
    <s v="Shoes"/>
    <n v="3"/>
    <n v="59000"/>
    <n v="177000"/>
    <s v="01"/>
  </r>
  <r>
    <n v="1188"/>
    <x v="7"/>
    <x v="3"/>
    <x v="5"/>
    <s v="Electronics"/>
    <s v="Laptop"/>
    <n v="1"/>
    <n v="850"/>
    <n v="850"/>
    <s v="01"/>
  </r>
  <r>
    <n v="1189"/>
    <x v="8"/>
    <x v="0"/>
    <x v="6"/>
    <s v="Furniture"/>
    <s v="Sofa"/>
    <n v="1"/>
    <n v="3500"/>
    <n v="3500"/>
    <s v="01"/>
  </r>
  <r>
    <n v="1190"/>
    <x v="9"/>
    <x v="1"/>
    <x v="2"/>
    <s v="Clothing"/>
    <s v="T-shirt"/>
    <n v="10"/>
    <n v="2600"/>
    <n v="26000"/>
    <s v="01"/>
  </r>
  <r>
    <n v="1191"/>
    <x v="10"/>
    <x v="2"/>
    <x v="7"/>
    <s v="Electronics"/>
    <s v="Smartphone"/>
    <n v="2"/>
    <n v="58000"/>
    <n v="116000"/>
    <s v="02"/>
  </r>
  <r>
    <n v="1192"/>
    <x v="11"/>
    <x v="3"/>
    <x v="1"/>
    <s v="Furniture"/>
    <s v="Chair"/>
    <n v="3"/>
    <n v="11000"/>
    <n v="33000"/>
    <s v="02"/>
  </r>
  <r>
    <n v="1193"/>
    <x v="12"/>
    <x v="0"/>
    <x v="8"/>
    <s v="Clothing"/>
    <s v="Jacket"/>
    <n v="2"/>
    <n v="2200"/>
    <n v="4400"/>
    <s v="02"/>
  </r>
  <r>
    <n v="1194"/>
    <x v="13"/>
    <x v="1"/>
    <x v="3"/>
    <s v="Electronics"/>
    <s v="Laptop"/>
    <n v="1"/>
    <n v="3200"/>
    <n v="3200"/>
    <s v="02"/>
  </r>
  <r>
    <n v="1195"/>
    <x v="14"/>
    <x v="2"/>
    <x v="9"/>
    <s v="Furniture"/>
    <s v="Table"/>
    <n v="1"/>
    <n v="47000"/>
    <n v="47000"/>
    <s v="02"/>
  </r>
  <r>
    <n v="1196"/>
    <x v="15"/>
    <x v="3"/>
    <x v="0"/>
    <s v="Electronics"/>
    <s v="Headphones"/>
    <n v="4"/>
    <n v="59000"/>
    <n v="236000"/>
    <s v="02"/>
  </r>
  <r>
    <n v="1197"/>
    <x v="16"/>
    <x v="0"/>
    <x v="4"/>
    <s v="Clothing"/>
    <s v="Shoes"/>
    <n v="2"/>
    <n v="850"/>
    <n v="1700"/>
    <s v="02"/>
  </r>
  <r>
    <n v="1198"/>
    <x v="17"/>
    <x v="1"/>
    <x v="5"/>
    <s v="Furniture"/>
    <s v="Sofa"/>
    <n v="1"/>
    <n v="2500"/>
    <n v="2500"/>
    <s v="02"/>
  </r>
  <r>
    <n v="1199"/>
    <x v="18"/>
    <x v="2"/>
    <x v="6"/>
    <s v="Electronics"/>
    <s v="Laptop"/>
    <n v="1"/>
    <n v="12000"/>
    <n v="12000"/>
    <s v="02"/>
  </r>
  <r>
    <n v="1200"/>
    <x v="19"/>
    <x v="3"/>
    <x v="7"/>
    <s v="Clothing"/>
    <s v="T-shirt"/>
    <n v="5"/>
    <n v="2000"/>
    <n v="10000"/>
    <s v="02"/>
  </r>
  <r>
    <n v="1201"/>
    <x v="0"/>
    <x v="0"/>
    <x v="0"/>
    <s v="Electronics"/>
    <s v="Laptop"/>
    <n v="2"/>
    <n v="3000"/>
    <n v="6000"/>
    <s v="01"/>
  </r>
  <r>
    <n v="1202"/>
    <x v="1"/>
    <x v="1"/>
    <x v="1"/>
    <s v="Furniture"/>
    <s v="Chair"/>
    <n v="5"/>
    <n v="60000"/>
    <n v="300000"/>
    <s v="01"/>
  </r>
  <r>
    <n v="1203"/>
    <x v="2"/>
    <x v="2"/>
    <x v="2"/>
    <s v="Electronics"/>
    <s v="Smartphone"/>
    <n v="3"/>
    <n v="45000"/>
    <n v="135000"/>
    <s v="01"/>
  </r>
  <r>
    <n v="1204"/>
    <x v="3"/>
    <x v="3"/>
    <x v="3"/>
    <s v="Clothing"/>
    <s v="Jacket"/>
    <n v="4"/>
    <n v="800"/>
    <n v="3200"/>
    <s v="01"/>
  </r>
  <r>
    <n v="1205"/>
    <x v="4"/>
    <x v="0"/>
    <x v="1"/>
    <s v="Furniture"/>
    <s v="Table"/>
    <n v="2"/>
    <n v="21000"/>
    <n v="42000"/>
    <s v="01"/>
  </r>
  <r>
    <n v="1206"/>
    <x v="5"/>
    <x v="1"/>
    <x v="4"/>
    <s v="Electronics"/>
    <s v="Headphones"/>
    <n v="6"/>
    <n v="3500"/>
    <n v="21000"/>
    <s v="01"/>
  </r>
  <r>
    <n v="1207"/>
    <x v="6"/>
    <x v="2"/>
    <x v="0"/>
    <s v="Clothing"/>
    <s v="Shoes"/>
    <n v="3"/>
    <n v="2600"/>
    <n v="7800"/>
    <s v="01"/>
  </r>
  <r>
    <n v="1208"/>
    <x v="7"/>
    <x v="3"/>
    <x v="5"/>
    <s v="Electronics"/>
    <s v="Laptop"/>
    <n v="1"/>
    <n v="58000"/>
    <n v="58000"/>
    <s v="01"/>
  </r>
  <r>
    <n v="1209"/>
    <x v="8"/>
    <x v="0"/>
    <x v="6"/>
    <s v="Furniture"/>
    <s v="Sofa"/>
    <n v="1"/>
    <n v="11000"/>
    <n v="11000"/>
    <s v="01"/>
  </r>
  <r>
    <n v="1210"/>
    <x v="9"/>
    <x v="1"/>
    <x v="2"/>
    <s v="Clothing"/>
    <s v="T-shirt"/>
    <n v="10"/>
    <n v="2200"/>
    <n v="22000"/>
    <s v="01"/>
  </r>
  <r>
    <n v="1211"/>
    <x v="10"/>
    <x v="2"/>
    <x v="7"/>
    <s v="Electronics"/>
    <s v="Smartphone"/>
    <n v="2"/>
    <n v="55000"/>
    <n v="110000"/>
    <s v="02"/>
  </r>
  <r>
    <n v="1212"/>
    <x v="11"/>
    <x v="3"/>
    <x v="1"/>
    <s v="Furniture"/>
    <s v="Chair"/>
    <n v="3"/>
    <n v="3500"/>
    <n v="10500"/>
    <s v="02"/>
  </r>
  <r>
    <n v="1213"/>
    <x v="12"/>
    <x v="0"/>
    <x v="8"/>
    <s v="Clothing"/>
    <s v="Jacket"/>
    <n v="2"/>
    <n v="22000"/>
    <n v="44000"/>
    <s v="02"/>
  </r>
  <r>
    <n v="1214"/>
    <x v="13"/>
    <x v="1"/>
    <x v="3"/>
    <s v="Electronics"/>
    <s v="Laptop"/>
    <n v="1"/>
    <n v="2500"/>
    <n v="2500"/>
    <s v="02"/>
  </r>
  <r>
    <n v="1215"/>
    <x v="14"/>
    <x v="2"/>
    <x v="9"/>
    <s v="Furniture"/>
    <s v="Table"/>
    <n v="1"/>
    <n v="12000"/>
    <n v="12000"/>
    <s v="02"/>
  </r>
  <r>
    <n v="1216"/>
    <x v="15"/>
    <x v="3"/>
    <x v="0"/>
    <s v="Electronics"/>
    <s v="Headphones"/>
    <n v="4"/>
    <n v="2000"/>
    <n v="8000"/>
    <s v="02"/>
  </r>
  <r>
    <n v="1217"/>
    <x v="16"/>
    <x v="0"/>
    <x v="4"/>
    <s v="Clothing"/>
    <s v="Shoes"/>
    <n v="2"/>
    <n v="3000"/>
    <n v="6000"/>
    <s v="02"/>
  </r>
  <r>
    <n v="1218"/>
    <x v="17"/>
    <x v="1"/>
    <x v="5"/>
    <s v="Furniture"/>
    <s v="Sofa"/>
    <n v="1"/>
    <n v="60000"/>
    <n v="60000"/>
    <s v="02"/>
  </r>
  <r>
    <n v="1219"/>
    <x v="18"/>
    <x v="2"/>
    <x v="6"/>
    <s v="Electronics"/>
    <s v="Laptop"/>
    <n v="1"/>
    <n v="45000"/>
    <n v="45000"/>
    <s v="02"/>
  </r>
  <r>
    <n v="1220"/>
    <x v="19"/>
    <x v="3"/>
    <x v="7"/>
    <s v="Clothing"/>
    <s v="T-shirt"/>
    <n v="5"/>
    <n v="800"/>
    <n v="4000"/>
    <s v="02"/>
  </r>
  <r>
    <n v="1221"/>
    <x v="0"/>
    <x v="0"/>
    <x v="0"/>
    <s v="Electronics"/>
    <s v="Laptop"/>
    <n v="2"/>
    <n v="21000"/>
    <n v="42000"/>
    <s v="01"/>
  </r>
  <r>
    <n v="1222"/>
    <x v="1"/>
    <x v="1"/>
    <x v="1"/>
    <s v="Furniture"/>
    <s v="Chair"/>
    <n v="5"/>
    <n v="3500"/>
    <n v="17500"/>
    <s v="01"/>
  </r>
  <r>
    <n v="1223"/>
    <x v="2"/>
    <x v="2"/>
    <x v="2"/>
    <s v="Electronics"/>
    <s v="Smartphone"/>
    <n v="3"/>
    <n v="2600"/>
    <n v="7800"/>
    <s v="01"/>
  </r>
  <r>
    <n v="1224"/>
    <x v="3"/>
    <x v="3"/>
    <x v="3"/>
    <s v="Clothing"/>
    <s v="Jacket"/>
    <n v="4"/>
    <n v="58000"/>
    <n v="232000"/>
    <s v="01"/>
  </r>
  <r>
    <n v="1225"/>
    <x v="4"/>
    <x v="0"/>
    <x v="1"/>
    <s v="Furniture"/>
    <s v="Table"/>
    <n v="2"/>
    <n v="11000"/>
    <n v="22000"/>
    <s v="01"/>
  </r>
  <r>
    <n v="1226"/>
    <x v="5"/>
    <x v="1"/>
    <x v="4"/>
    <s v="Electronics"/>
    <s v="Headphones"/>
    <n v="6"/>
    <n v="2200"/>
    <n v="13200"/>
    <s v="01"/>
  </r>
  <r>
    <n v="1227"/>
    <x v="6"/>
    <x v="2"/>
    <x v="0"/>
    <s v="Clothing"/>
    <s v="Shoes"/>
    <n v="3"/>
    <n v="3200"/>
    <n v="9600"/>
    <s v="01"/>
  </r>
  <r>
    <n v="1228"/>
    <x v="7"/>
    <x v="3"/>
    <x v="5"/>
    <s v="Electronics"/>
    <s v="Laptop"/>
    <n v="1"/>
    <n v="47000"/>
    <n v="47000"/>
    <s v="01"/>
  </r>
  <r>
    <n v="1229"/>
    <x v="8"/>
    <x v="0"/>
    <x v="6"/>
    <s v="Furniture"/>
    <s v="Sofa"/>
    <n v="1"/>
    <n v="59000"/>
    <n v="59000"/>
    <s v="01"/>
  </r>
  <r>
    <n v="1230"/>
    <x v="9"/>
    <x v="1"/>
    <x v="2"/>
    <s v="Clothing"/>
    <s v="T-shirt"/>
    <n v="10"/>
    <n v="850"/>
    <n v="8500"/>
    <s v="01"/>
  </r>
  <r>
    <n v="1231"/>
    <x v="10"/>
    <x v="2"/>
    <x v="7"/>
    <s v="Electronics"/>
    <s v="Smartphone"/>
    <n v="2"/>
    <n v="3500"/>
    <n v="7000"/>
    <s v="02"/>
  </r>
  <r>
    <n v="1232"/>
    <x v="11"/>
    <x v="3"/>
    <x v="1"/>
    <s v="Furniture"/>
    <s v="Chair"/>
    <n v="3"/>
    <n v="2600"/>
    <n v="7800"/>
    <s v="02"/>
  </r>
  <r>
    <n v="1233"/>
    <x v="12"/>
    <x v="0"/>
    <x v="8"/>
    <s v="Clothing"/>
    <s v="Jacket"/>
    <n v="2"/>
    <n v="58000"/>
    <n v="116000"/>
    <s v="02"/>
  </r>
  <r>
    <n v="1234"/>
    <x v="13"/>
    <x v="1"/>
    <x v="3"/>
    <s v="Electronics"/>
    <s v="Laptop"/>
    <n v="1"/>
    <n v="11000"/>
    <n v="11000"/>
    <s v="02"/>
  </r>
  <r>
    <n v="1235"/>
    <x v="14"/>
    <x v="2"/>
    <x v="9"/>
    <s v="Furniture"/>
    <s v="Table"/>
    <n v="1"/>
    <n v="2200"/>
    <n v="2200"/>
    <s v="02"/>
  </r>
  <r>
    <n v="1236"/>
    <x v="15"/>
    <x v="3"/>
    <x v="0"/>
    <s v="Electronics"/>
    <s v="Headphones"/>
    <n v="4"/>
    <n v="3200"/>
    <n v="12800"/>
    <s v="02"/>
  </r>
  <r>
    <n v="1237"/>
    <x v="16"/>
    <x v="0"/>
    <x v="4"/>
    <s v="Clothing"/>
    <s v="Shoes"/>
    <n v="2"/>
    <n v="47000"/>
    <n v="94000"/>
    <s v="02"/>
  </r>
  <r>
    <n v="1238"/>
    <x v="17"/>
    <x v="1"/>
    <x v="5"/>
    <s v="Furniture"/>
    <s v="Sofa"/>
    <n v="1"/>
    <n v="59000"/>
    <n v="59000"/>
    <s v="02"/>
  </r>
  <r>
    <n v="1239"/>
    <x v="18"/>
    <x v="2"/>
    <x v="6"/>
    <s v="Electronics"/>
    <s v="Laptop"/>
    <n v="1"/>
    <n v="850"/>
    <n v="850"/>
    <s v="02"/>
  </r>
  <r>
    <n v="1240"/>
    <x v="19"/>
    <x v="3"/>
    <x v="7"/>
    <s v="Clothing"/>
    <s v="T-shirt"/>
    <n v="5"/>
    <n v="2500"/>
    <n v="12500"/>
    <s v="02"/>
  </r>
  <r>
    <n v="1241"/>
    <x v="0"/>
    <x v="0"/>
    <x v="0"/>
    <s v="Electronics"/>
    <s v="Laptop"/>
    <n v="2"/>
    <n v="12000"/>
    <n v="24000"/>
    <s v="01"/>
  </r>
  <r>
    <n v="1242"/>
    <x v="1"/>
    <x v="1"/>
    <x v="1"/>
    <s v="Furniture"/>
    <s v="Chair"/>
    <n v="5"/>
    <n v="2000"/>
    <n v="10000"/>
    <s v="01"/>
  </r>
  <r>
    <n v="1243"/>
    <x v="2"/>
    <x v="2"/>
    <x v="2"/>
    <s v="Electronics"/>
    <s v="Smartphone"/>
    <n v="3"/>
    <n v="3000"/>
    <n v="9000"/>
    <s v="01"/>
  </r>
  <r>
    <n v="1244"/>
    <x v="3"/>
    <x v="3"/>
    <x v="3"/>
    <s v="Clothing"/>
    <s v="Jacket"/>
    <n v="4"/>
    <n v="60000"/>
    <n v="240000"/>
    <s v="01"/>
  </r>
  <r>
    <n v="1245"/>
    <x v="4"/>
    <x v="0"/>
    <x v="1"/>
    <s v="Furniture"/>
    <s v="Table"/>
    <n v="2"/>
    <n v="45000"/>
    <n v="90000"/>
    <s v="01"/>
  </r>
  <r>
    <n v="1246"/>
    <x v="5"/>
    <x v="1"/>
    <x v="4"/>
    <s v="Electronics"/>
    <s v="Headphones"/>
    <n v="6"/>
    <n v="800"/>
    <n v="4800"/>
    <s v="01"/>
  </r>
  <r>
    <n v="1247"/>
    <x v="6"/>
    <x v="2"/>
    <x v="0"/>
    <s v="Clothing"/>
    <s v="Shoes"/>
    <n v="3"/>
    <n v="21000"/>
    <n v="63000"/>
    <s v="01"/>
  </r>
  <r>
    <n v="1248"/>
    <x v="7"/>
    <x v="3"/>
    <x v="5"/>
    <s v="Electronics"/>
    <s v="Laptop"/>
    <n v="1"/>
    <n v="3500"/>
    <n v="3500"/>
    <s v="01"/>
  </r>
  <r>
    <n v="1249"/>
    <x v="8"/>
    <x v="0"/>
    <x v="6"/>
    <s v="Furniture"/>
    <s v="Sofa"/>
    <n v="1"/>
    <n v="2600"/>
    <n v="2600"/>
    <s v="01"/>
  </r>
  <r>
    <n v="1250"/>
    <x v="9"/>
    <x v="1"/>
    <x v="2"/>
    <s v="Clothing"/>
    <s v="T-shirt"/>
    <n v="10"/>
    <n v="58000"/>
    <n v="580000"/>
    <s v="01"/>
  </r>
  <r>
    <n v="1251"/>
    <x v="10"/>
    <x v="2"/>
    <x v="7"/>
    <s v="Electronics"/>
    <s v="Smartphone"/>
    <n v="2"/>
    <n v="11000"/>
    <n v="22000"/>
    <s v="02"/>
  </r>
  <r>
    <n v="1252"/>
    <x v="11"/>
    <x v="3"/>
    <x v="1"/>
    <s v="Furniture"/>
    <s v="Chair"/>
    <n v="3"/>
    <n v="2200"/>
    <n v="6600"/>
    <s v="02"/>
  </r>
  <r>
    <n v="1253"/>
    <x v="12"/>
    <x v="0"/>
    <x v="8"/>
    <s v="Clothing"/>
    <s v="Jacket"/>
    <n v="2"/>
    <n v="55000"/>
    <n v="110000"/>
    <s v="02"/>
  </r>
  <r>
    <n v="1254"/>
    <x v="13"/>
    <x v="1"/>
    <x v="3"/>
    <s v="Electronics"/>
    <s v="Laptop"/>
    <n v="1"/>
    <n v="3500"/>
    <n v="3500"/>
    <s v="02"/>
  </r>
  <r>
    <n v="1255"/>
    <x v="14"/>
    <x v="2"/>
    <x v="9"/>
    <s v="Furniture"/>
    <s v="Table"/>
    <n v="1"/>
    <n v="22000"/>
    <n v="22000"/>
    <s v="02"/>
  </r>
  <r>
    <n v="1256"/>
    <x v="15"/>
    <x v="3"/>
    <x v="0"/>
    <s v="Electronics"/>
    <s v="Headphones"/>
    <n v="4"/>
    <n v="2500"/>
    <n v="10000"/>
    <s v="02"/>
  </r>
  <r>
    <n v="1257"/>
    <x v="16"/>
    <x v="0"/>
    <x v="4"/>
    <s v="Clothing"/>
    <s v="Shoes"/>
    <n v="2"/>
    <n v="12000"/>
    <n v="24000"/>
    <s v="02"/>
  </r>
  <r>
    <n v="1258"/>
    <x v="17"/>
    <x v="1"/>
    <x v="5"/>
    <s v="Furniture"/>
    <s v="Sofa"/>
    <n v="1"/>
    <n v="2000"/>
    <n v="2000"/>
    <s v="02"/>
  </r>
  <r>
    <n v="1259"/>
    <x v="18"/>
    <x v="2"/>
    <x v="6"/>
    <s v="Electronics"/>
    <s v="Laptop"/>
    <n v="1"/>
    <n v="3000"/>
    <n v="3000"/>
    <s v="02"/>
  </r>
  <r>
    <n v="1260"/>
    <x v="19"/>
    <x v="3"/>
    <x v="7"/>
    <s v="Clothing"/>
    <s v="T-shirt"/>
    <n v="5"/>
    <n v="60000"/>
    <n v="300000"/>
    <s v="02"/>
  </r>
  <r>
    <n v="1261"/>
    <x v="0"/>
    <x v="0"/>
    <x v="0"/>
    <s v="Electronics"/>
    <s v="Laptop"/>
    <n v="2"/>
    <n v="45000"/>
    <n v="90000"/>
    <s v="01"/>
  </r>
  <r>
    <n v="1262"/>
    <x v="1"/>
    <x v="1"/>
    <x v="1"/>
    <s v="Furniture"/>
    <s v="Chair"/>
    <n v="5"/>
    <n v="800"/>
    <n v="4000"/>
    <s v="01"/>
  </r>
  <r>
    <n v="1263"/>
    <x v="2"/>
    <x v="2"/>
    <x v="2"/>
    <s v="Electronics"/>
    <s v="Smartphone"/>
    <n v="3"/>
    <n v="21000"/>
    <n v="63000"/>
    <s v="01"/>
  </r>
  <r>
    <n v="1264"/>
    <x v="3"/>
    <x v="3"/>
    <x v="3"/>
    <s v="Clothing"/>
    <s v="Jacket"/>
    <n v="4"/>
    <n v="3500"/>
    <n v="14000"/>
    <s v="01"/>
  </r>
  <r>
    <n v="1265"/>
    <x v="4"/>
    <x v="0"/>
    <x v="1"/>
    <s v="Furniture"/>
    <s v="Table"/>
    <n v="2"/>
    <n v="2600"/>
    <n v="5200"/>
    <s v="01"/>
  </r>
  <r>
    <n v="1266"/>
    <x v="5"/>
    <x v="1"/>
    <x v="4"/>
    <s v="Electronics"/>
    <s v="Headphones"/>
    <n v="6"/>
    <n v="58000"/>
    <n v="348000"/>
    <s v="01"/>
  </r>
  <r>
    <n v="1267"/>
    <x v="6"/>
    <x v="2"/>
    <x v="0"/>
    <s v="Clothing"/>
    <s v="Shoes"/>
    <n v="3"/>
    <n v="11000"/>
    <n v="33000"/>
    <s v="01"/>
  </r>
  <r>
    <n v="1268"/>
    <x v="7"/>
    <x v="3"/>
    <x v="5"/>
    <s v="Electronics"/>
    <s v="Laptop"/>
    <n v="1"/>
    <n v="2200"/>
    <n v="2200"/>
    <s v="01"/>
  </r>
  <r>
    <n v="1269"/>
    <x v="8"/>
    <x v="0"/>
    <x v="6"/>
    <s v="Furniture"/>
    <s v="Sofa"/>
    <n v="1"/>
    <n v="3200"/>
    <n v="3200"/>
    <s v="01"/>
  </r>
  <r>
    <n v="1270"/>
    <x v="9"/>
    <x v="1"/>
    <x v="2"/>
    <s v="Clothing"/>
    <s v="T-shirt"/>
    <n v="10"/>
    <n v="47000"/>
    <n v="470000"/>
    <s v="01"/>
  </r>
  <r>
    <n v="1271"/>
    <x v="10"/>
    <x v="2"/>
    <x v="7"/>
    <s v="Electronics"/>
    <s v="Smartphone"/>
    <n v="2"/>
    <n v="59000"/>
    <n v="118000"/>
    <s v="02"/>
  </r>
  <r>
    <n v="1272"/>
    <x v="11"/>
    <x v="3"/>
    <x v="1"/>
    <s v="Furniture"/>
    <s v="Chair"/>
    <n v="3"/>
    <n v="850"/>
    <n v="2550"/>
    <s v="02"/>
  </r>
  <r>
    <n v="1273"/>
    <x v="12"/>
    <x v="0"/>
    <x v="8"/>
    <s v="Clothing"/>
    <s v="Jacket"/>
    <n v="2"/>
    <n v="3500"/>
    <n v="7000"/>
    <s v="02"/>
  </r>
  <r>
    <n v="1274"/>
    <x v="13"/>
    <x v="1"/>
    <x v="3"/>
    <s v="Electronics"/>
    <s v="Laptop"/>
    <n v="1"/>
    <n v="2600"/>
    <n v="2600"/>
    <s v="02"/>
  </r>
  <r>
    <n v="1275"/>
    <x v="14"/>
    <x v="2"/>
    <x v="9"/>
    <s v="Furniture"/>
    <s v="Table"/>
    <n v="1"/>
    <n v="58000"/>
    <n v="58000"/>
    <s v="02"/>
  </r>
  <r>
    <n v="1276"/>
    <x v="15"/>
    <x v="3"/>
    <x v="0"/>
    <s v="Electronics"/>
    <s v="Headphones"/>
    <n v="4"/>
    <n v="11000"/>
    <n v="44000"/>
    <s v="02"/>
  </r>
  <r>
    <n v="1277"/>
    <x v="16"/>
    <x v="0"/>
    <x v="4"/>
    <s v="Clothing"/>
    <s v="Shoes"/>
    <n v="2"/>
    <n v="2200"/>
    <n v="4400"/>
    <s v="02"/>
  </r>
  <r>
    <n v="1278"/>
    <x v="17"/>
    <x v="1"/>
    <x v="5"/>
    <s v="Furniture"/>
    <s v="Sofa"/>
    <n v="1"/>
    <n v="3200"/>
    <n v="3200"/>
    <s v="02"/>
  </r>
  <r>
    <n v="1279"/>
    <x v="18"/>
    <x v="2"/>
    <x v="6"/>
    <s v="Electronics"/>
    <s v="Laptop"/>
    <n v="1"/>
    <n v="47000"/>
    <n v="47000"/>
    <s v="02"/>
  </r>
  <r>
    <n v="1280"/>
    <x v="19"/>
    <x v="3"/>
    <x v="7"/>
    <s v="Clothing"/>
    <s v="T-shirt"/>
    <n v="5"/>
    <n v="59000"/>
    <n v="295000"/>
    <s v="02"/>
  </r>
  <r>
    <n v="1281"/>
    <x v="0"/>
    <x v="0"/>
    <x v="0"/>
    <s v="Electronics"/>
    <s v="Laptop"/>
    <n v="2"/>
    <n v="850"/>
    <n v="1700"/>
    <s v="01"/>
  </r>
  <r>
    <n v="1282"/>
    <x v="1"/>
    <x v="1"/>
    <x v="1"/>
    <s v="Furniture"/>
    <s v="Chair"/>
    <n v="5"/>
    <n v="2500"/>
    <n v="12500"/>
    <s v="01"/>
  </r>
  <r>
    <n v="1283"/>
    <x v="2"/>
    <x v="2"/>
    <x v="2"/>
    <s v="Electronics"/>
    <s v="Smartphone"/>
    <n v="3"/>
    <n v="12000"/>
    <n v="36000"/>
    <s v="01"/>
  </r>
  <r>
    <n v="1284"/>
    <x v="3"/>
    <x v="3"/>
    <x v="3"/>
    <s v="Clothing"/>
    <s v="Jacket"/>
    <n v="4"/>
    <n v="2000"/>
    <n v="8000"/>
    <s v="01"/>
  </r>
  <r>
    <n v="1285"/>
    <x v="4"/>
    <x v="0"/>
    <x v="1"/>
    <s v="Furniture"/>
    <s v="Table"/>
    <n v="2"/>
    <n v="3000"/>
    <n v="6000"/>
    <s v="01"/>
  </r>
  <r>
    <n v="1286"/>
    <x v="5"/>
    <x v="1"/>
    <x v="4"/>
    <s v="Electronics"/>
    <s v="Headphones"/>
    <n v="6"/>
    <n v="60000"/>
    <n v="360000"/>
    <s v="01"/>
  </r>
  <r>
    <n v="1287"/>
    <x v="6"/>
    <x v="2"/>
    <x v="0"/>
    <s v="Clothing"/>
    <s v="Shoes"/>
    <n v="3"/>
    <n v="45000"/>
    <n v="135000"/>
    <s v="01"/>
  </r>
  <r>
    <n v="1288"/>
    <x v="7"/>
    <x v="3"/>
    <x v="5"/>
    <s v="Electronics"/>
    <s v="Laptop"/>
    <n v="1"/>
    <n v="800"/>
    <n v="800"/>
    <s v="01"/>
  </r>
  <r>
    <n v="1289"/>
    <x v="8"/>
    <x v="0"/>
    <x v="6"/>
    <s v="Furniture"/>
    <s v="Sofa"/>
    <n v="1"/>
    <n v="21000"/>
    <n v="21000"/>
    <s v="01"/>
  </r>
  <r>
    <n v="1290"/>
    <x v="9"/>
    <x v="1"/>
    <x v="2"/>
    <s v="Clothing"/>
    <s v="T-shirt"/>
    <n v="10"/>
    <n v="3500"/>
    <n v="35000"/>
    <s v="01"/>
  </r>
  <r>
    <n v="1291"/>
    <x v="10"/>
    <x v="2"/>
    <x v="7"/>
    <s v="Electronics"/>
    <s v="Smartphone"/>
    <n v="2"/>
    <n v="2600"/>
    <n v="5200"/>
    <s v="02"/>
  </r>
  <r>
    <n v="1292"/>
    <x v="11"/>
    <x v="3"/>
    <x v="1"/>
    <s v="Furniture"/>
    <s v="Chair"/>
    <n v="3"/>
    <n v="58000"/>
    <n v="174000"/>
    <s v="02"/>
  </r>
  <r>
    <n v="1293"/>
    <x v="12"/>
    <x v="0"/>
    <x v="8"/>
    <s v="Clothing"/>
    <s v="Jacket"/>
    <n v="2"/>
    <n v="11000"/>
    <n v="22000"/>
    <s v="02"/>
  </r>
  <r>
    <n v="1294"/>
    <x v="13"/>
    <x v="1"/>
    <x v="3"/>
    <s v="Electronics"/>
    <s v="Laptop"/>
    <n v="1"/>
    <n v="2200"/>
    <n v="2200"/>
    <s v="02"/>
  </r>
  <r>
    <n v="1295"/>
    <x v="14"/>
    <x v="2"/>
    <x v="9"/>
    <s v="Furniture"/>
    <s v="Table"/>
    <n v="1"/>
    <n v="55000"/>
    <n v="55000"/>
    <s v="02"/>
  </r>
  <r>
    <n v="1296"/>
    <x v="15"/>
    <x v="3"/>
    <x v="0"/>
    <s v="Electronics"/>
    <s v="Headphones"/>
    <n v="4"/>
    <n v="3500"/>
    <n v="14000"/>
    <s v="02"/>
  </r>
  <r>
    <n v="1297"/>
    <x v="16"/>
    <x v="0"/>
    <x v="4"/>
    <s v="Clothing"/>
    <s v="Shoes"/>
    <n v="2"/>
    <n v="22000"/>
    <n v="44000"/>
    <s v="02"/>
  </r>
  <r>
    <n v="1298"/>
    <x v="17"/>
    <x v="1"/>
    <x v="5"/>
    <s v="Furniture"/>
    <s v="Sofa"/>
    <n v="1"/>
    <n v="2500"/>
    <n v="2500"/>
    <s v="02"/>
  </r>
  <r>
    <n v="1299"/>
    <x v="18"/>
    <x v="2"/>
    <x v="6"/>
    <s v="Electronics"/>
    <s v="Laptop"/>
    <n v="1"/>
    <n v="12000"/>
    <n v="12000"/>
    <s v="02"/>
  </r>
  <r>
    <n v="1300"/>
    <x v="19"/>
    <x v="3"/>
    <x v="7"/>
    <s v="Clothing"/>
    <s v="T-shirt"/>
    <n v="5"/>
    <n v="2000"/>
    <n v="10000"/>
    <s v="02"/>
  </r>
  <r>
    <n v="1301"/>
    <x v="0"/>
    <x v="0"/>
    <x v="0"/>
    <s v="Electronics"/>
    <s v="Laptop"/>
    <n v="2"/>
    <n v="3000"/>
    <n v="6000"/>
    <s v="01"/>
  </r>
  <r>
    <n v="1302"/>
    <x v="1"/>
    <x v="1"/>
    <x v="1"/>
    <s v="Furniture"/>
    <s v="Chair"/>
    <n v="5"/>
    <n v="60000"/>
    <n v="300000"/>
    <s v="01"/>
  </r>
  <r>
    <n v="1303"/>
    <x v="2"/>
    <x v="2"/>
    <x v="2"/>
    <s v="Electronics"/>
    <s v="Smartphone"/>
    <n v="3"/>
    <n v="45000"/>
    <n v="135000"/>
    <s v="01"/>
  </r>
  <r>
    <n v="1304"/>
    <x v="3"/>
    <x v="3"/>
    <x v="3"/>
    <s v="Clothing"/>
    <s v="Jacket"/>
    <n v="4"/>
    <n v="800"/>
    <n v="3200"/>
    <s v="01"/>
  </r>
  <r>
    <n v="1305"/>
    <x v="4"/>
    <x v="0"/>
    <x v="1"/>
    <s v="Furniture"/>
    <s v="Table"/>
    <n v="2"/>
    <n v="21000"/>
    <n v="42000"/>
    <s v="01"/>
  </r>
  <r>
    <n v="1306"/>
    <x v="5"/>
    <x v="1"/>
    <x v="4"/>
    <s v="Electronics"/>
    <s v="Headphones"/>
    <n v="6"/>
    <n v="3500"/>
    <n v="21000"/>
    <s v="01"/>
  </r>
  <r>
    <n v="1307"/>
    <x v="6"/>
    <x v="2"/>
    <x v="0"/>
    <s v="Clothing"/>
    <s v="Shoes"/>
    <n v="3"/>
    <n v="2600"/>
    <n v="7800"/>
    <s v="01"/>
  </r>
  <r>
    <n v="1308"/>
    <x v="7"/>
    <x v="3"/>
    <x v="5"/>
    <s v="Electronics"/>
    <s v="Laptop"/>
    <n v="1"/>
    <n v="58000"/>
    <n v="58000"/>
    <s v="01"/>
  </r>
  <r>
    <n v="1309"/>
    <x v="8"/>
    <x v="0"/>
    <x v="6"/>
    <s v="Furniture"/>
    <s v="Sofa"/>
    <n v="1"/>
    <n v="11000"/>
    <n v="11000"/>
    <s v="01"/>
  </r>
  <r>
    <n v="1310"/>
    <x v="9"/>
    <x v="1"/>
    <x v="2"/>
    <s v="Clothing"/>
    <s v="T-shirt"/>
    <n v="10"/>
    <n v="2200"/>
    <n v="22000"/>
    <s v="01"/>
  </r>
  <r>
    <n v="1311"/>
    <x v="10"/>
    <x v="2"/>
    <x v="7"/>
    <s v="Electronics"/>
    <s v="Smartphone"/>
    <n v="2"/>
    <n v="3200"/>
    <n v="6400"/>
    <s v="02"/>
  </r>
  <r>
    <n v="1312"/>
    <x v="11"/>
    <x v="3"/>
    <x v="1"/>
    <s v="Furniture"/>
    <s v="Chair"/>
    <n v="3"/>
    <n v="47000"/>
    <n v="141000"/>
    <s v="02"/>
  </r>
  <r>
    <n v="1313"/>
    <x v="12"/>
    <x v="0"/>
    <x v="8"/>
    <s v="Clothing"/>
    <s v="Jacket"/>
    <n v="2"/>
    <n v="59000"/>
    <n v="118000"/>
    <s v="02"/>
  </r>
  <r>
    <n v="1314"/>
    <x v="13"/>
    <x v="1"/>
    <x v="3"/>
    <s v="Electronics"/>
    <s v="Laptop"/>
    <n v="1"/>
    <n v="850"/>
    <n v="850"/>
    <s v="02"/>
  </r>
  <r>
    <n v="1315"/>
    <x v="14"/>
    <x v="2"/>
    <x v="9"/>
    <s v="Furniture"/>
    <s v="Table"/>
    <n v="1"/>
    <n v="3500"/>
    <n v="3500"/>
    <s v="02"/>
  </r>
  <r>
    <n v="1316"/>
    <x v="15"/>
    <x v="3"/>
    <x v="0"/>
    <s v="Electronics"/>
    <s v="Headphones"/>
    <n v="4"/>
    <n v="2600"/>
    <n v="10400"/>
    <s v="02"/>
  </r>
  <r>
    <n v="1317"/>
    <x v="16"/>
    <x v="0"/>
    <x v="4"/>
    <s v="Clothing"/>
    <s v="Shoes"/>
    <n v="2"/>
    <n v="58000"/>
    <n v="116000"/>
    <s v="02"/>
  </r>
  <r>
    <n v="1318"/>
    <x v="17"/>
    <x v="1"/>
    <x v="5"/>
    <s v="Furniture"/>
    <s v="Sofa"/>
    <n v="1"/>
    <n v="11000"/>
    <n v="11000"/>
    <s v="02"/>
  </r>
  <r>
    <n v="1319"/>
    <x v="18"/>
    <x v="2"/>
    <x v="6"/>
    <s v="Electronics"/>
    <s v="Laptop"/>
    <n v="1"/>
    <n v="2200"/>
    <n v="2200"/>
    <s v="02"/>
  </r>
  <r>
    <n v="1320"/>
    <x v="19"/>
    <x v="3"/>
    <x v="7"/>
    <s v="Clothing"/>
    <s v="T-shirt"/>
    <n v="5"/>
    <n v="3200"/>
    <n v="16000"/>
    <s v="02"/>
  </r>
  <r>
    <n v="1321"/>
    <x v="0"/>
    <x v="0"/>
    <x v="0"/>
    <s v="Electronics"/>
    <s v="Laptop"/>
    <n v="2"/>
    <n v="47000"/>
    <n v="94000"/>
    <s v="01"/>
  </r>
  <r>
    <n v="1322"/>
    <x v="1"/>
    <x v="1"/>
    <x v="1"/>
    <s v="Furniture"/>
    <s v="Chair"/>
    <n v="5"/>
    <n v="59000"/>
    <n v="295000"/>
    <s v="01"/>
  </r>
  <r>
    <n v="1323"/>
    <x v="2"/>
    <x v="2"/>
    <x v="2"/>
    <s v="Electronics"/>
    <s v="Smartphone"/>
    <n v="3"/>
    <n v="850"/>
    <n v="2550"/>
    <s v="01"/>
  </r>
  <r>
    <n v="1324"/>
    <x v="3"/>
    <x v="3"/>
    <x v="3"/>
    <s v="Clothing"/>
    <s v="Jacket"/>
    <n v="4"/>
    <n v="2500"/>
    <n v="10000"/>
    <s v="01"/>
  </r>
  <r>
    <n v="1325"/>
    <x v="4"/>
    <x v="0"/>
    <x v="1"/>
    <s v="Furniture"/>
    <s v="Table"/>
    <n v="2"/>
    <n v="12000"/>
    <n v="24000"/>
    <s v="01"/>
  </r>
  <r>
    <n v="1326"/>
    <x v="5"/>
    <x v="1"/>
    <x v="4"/>
    <s v="Electronics"/>
    <s v="Headphones"/>
    <n v="6"/>
    <n v="2000"/>
    <n v="12000"/>
    <s v="01"/>
  </r>
  <r>
    <n v="1327"/>
    <x v="6"/>
    <x v="2"/>
    <x v="0"/>
    <s v="Clothing"/>
    <s v="Shoes"/>
    <n v="3"/>
    <n v="3000"/>
    <n v="9000"/>
    <s v="01"/>
  </r>
  <r>
    <n v="1328"/>
    <x v="7"/>
    <x v="3"/>
    <x v="5"/>
    <s v="Electronics"/>
    <s v="Laptop"/>
    <n v="1"/>
    <n v="60000"/>
    <n v="60000"/>
    <s v="01"/>
  </r>
  <r>
    <n v="1329"/>
    <x v="8"/>
    <x v="0"/>
    <x v="6"/>
    <s v="Furniture"/>
    <s v="Sofa"/>
    <n v="1"/>
    <n v="45000"/>
    <n v="45000"/>
    <s v="01"/>
  </r>
  <r>
    <n v="1330"/>
    <x v="9"/>
    <x v="1"/>
    <x v="2"/>
    <s v="Clothing"/>
    <s v="T-shirt"/>
    <n v="10"/>
    <n v="800"/>
    <n v="8000"/>
    <s v="01"/>
  </r>
  <r>
    <n v="1331"/>
    <x v="10"/>
    <x v="2"/>
    <x v="7"/>
    <s v="Electronics"/>
    <s v="Smartphone"/>
    <n v="2"/>
    <n v="21000"/>
    <n v="42000"/>
    <s v="02"/>
  </r>
  <r>
    <n v="1332"/>
    <x v="11"/>
    <x v="3"/>
    <x v="1"/>
    <s v="Furniture"/>
    <s v="Chair"/>
    <n v="3"/>
    <n v="3500"/>
    <n v="10500"/>
    <s v="02"/>
  </r>
  <r>
    <n v="1333"/>
    <x v="12"/>
    <x v="0"/>
    <x v="8"/>
    <s v="Clothing"/>
    <s v="Jacket"/>
    <n v="2"/>
    <n v="2600"/>
    <n v="5200"/>
    <s v="02"/>
  </r>
  <r>
    <n v="1334"/>
    <x v="13"/>
    <x v="1"/>
    <x v="3"/>
    <s v="Electronics"/>
    <s v="Laptop"/>
    <n v="1"/>
    <n v="58000"/>
    <n v="58000"/>
    <s v="02"/>
  </r>
  <r>
    <n v="1335"/>
    <x v="14"/>
    <x v="2"/>
    <x v="9"/>
    <s v="Furniture"/>
    <s v="Table"/>
    <n v="1"/>
    <n v="11000"/>
    <n v="11000"/>
    <s v="02"/>
  </r>
  <r>
    <n v="1336"/>
    <x v="15"/>
    <x v="3"/>
    <x v="0"/>
    <s v="Electronics"/>
    <s v="Headphones"/>
    <n v="4"/>
    <n v="2200"/>
    <n v="8800"/>
    <s v="02"/>
  </r>
  <r>
    <n v="1337"/>
    <x v="16"/>
    <x v="0"/>
    <x v="4"/>
    <s v="Clothing"/>
    <s v="Shoes"/>
    <n v="2"/>
    <n v="55000"/>
    <n v="110000"/>
    <s v="02"/>
  </r>
  <r>
    <n v="1338"/>
    <x v="17"/>
    <x v="1"/>
    <x v="5"/>
    <s v="Furniture"/>
    <s v="Sofa"/>
    <n v="1"/>
    <n v="3500"/>
    <n v="3500"/>
    <s v="02"/>
  </r>
  <r>
    <n v="1339"/>
    <x v="18"/>
    <x v="2"/>
    <x v="6"/>
    <s v="Electronics"/>
    <s v="Laptop"/>
    <n v="1"/>
    <n v="22000"/>
    <n v="22000"/>
    <s v="02"/>
  </r>
  <r>
    <n v="1340"/>
    <x v="19"/>
    <x v="3"/>
    <x v="7"/>
    <s v="Clothing"/>
    <s v="T-shirt"/>
    <n v="5"/>
    <n v="2500"/>
    <n v="12500"/>
    <s v="02"/>
  </r>
  <r>
    <n v="1341"/>
    <x v="0"/>
    <x v="0"/>
    <x v="0"/>
    <s v="Electronics"/>
    <s v="Laptop"/>
    <n v="2"/>
    <n v="12000"/>
    <n v="24000"/>
    <s v="01"/>
  </r>
  <r>
    <n v="1342"/>
    <x v="1"/>
    <x v="1"/>
    <x v="1"/>
    <s v="Furniture"/>
    <s v="Chair"/>
    <n v="5"/>
    <n v="2000"/>
    <n v="10000"/>
    <s v="01"/>
  </r>
  <r>
    <n v="1343"/>
    <x v="2"/>
    <x v="2"/>
    <x v="2"/>
    <s v="Electronics"/>
    <s v="Smartphone"/>
    <n v="3"/>
    <n v="3000"/>
    <n v="9000"/>
    <s v="01"/>
  </r>
  <r>
    <n v="1344"/>
    <x v="3"/>
    <x v="3"/>
    <x v="3"/>
    <s v="Clothing"/>
    <s v="Jacket"/>
    <n v="4"/>
    <n v="60000"/>
    <n v="240000"/>
    <s v="01"/>
  </r>
  <r>
    <n v="1345"/>
    <x v="4"/>
    <x v="0"/>
    <x v="1"/>
    <s v="Furniture"/>
    <s v="Table"/>
    <n v="2"/>
    <n v="45000"/>
    <n v="90000"/>
    <s v="01"/>
  </r>
  <r>
    <n v="1346"/>
    <x v="5"/>
    <x v="1"/>
    <x v="4"/>
    <s v="Electronics"/>
    <s v="Headphones"/>
    <n v="6"/>
    <n v="800"/>
    <n v="4800"/>
    <s v="01"/>
  </r>
  <r>
    <n v="1347"/>
    <x v="6"/>
    <x v="2"/>
    <x v="0"/>
    <s v="Clothing"/>
    <s v="Shoes"/>
    <n v="3"/>
    <n v="21000"/>
    <n v="63000"/>
    <s v="01"/>
  </r>
  <r>
    <n v="1348"/>
    <x v="7"/>
    <x v="3"/>
    <x v="5"/>
    <s v="Electronics"/>
    <s v="Laptop"/>
    <n v="1"/>
    <n v="3500"/>
    <n v="3500"/>
    <s v="01"/>
  </r>
  <r>
    <n v="1349"/>
    <x v="8"/>
    <x v="0"/>
    <x v="6"/>
    <s v="Furniture"/>
    <s v="Sofa"/>
    <n v="1"/>
    <n v="2600"/>
    <n v="2600"/>
    <s v="01"/>
  </r>
  <r>
    <n v="1350"/>
    <x v="9"/>
    <x v="1"/>
    <x v="2"/>
    <s v="Clothing"/>
    <s v="T-shirt"/>
    <n v="10"/>
    <n v="58000"/>
    <n v="580000"/>
    <s v="01"/>
  </r>
  <r>
    <n v="1351"/>
    <x v="10"/>
    <x v="2"/>
    <x v="7"/>
    <s v="Electronics"/>
    <s v="Smartphone"/>
    <n v="2"/>
    <n v="11000"/>
    <n v="22000"/>
    <s v="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3DA27-4D9E-4B34-B69C-90B6CEF0E5A6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20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3ADD2-127B-4AD1-A45A-811D42475DB8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H6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8F949-46FD-4638-8A29-E247DAEC8CB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2">
    <pivotField dataField="1"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ID" fld="0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2"/>
  <sheetViews>
    <sheetView topLeftCell="A341" workbookViewId="0">
      <selection sqref="A1:J352"/>
    </sheetView>
  </sheetViews>
  <sheetFormatPr defaultRowHeight="14.5" x14ac:dyDescent="0.35"/>
  <cols>
    <col min="2" max="2" width="10.08984375" bestFit="1" customWidth="1"/>
    <col min="7" max="7" width="11.36328125" bestFit="1" customWidth="1"/>
    <col min="19" max="19" width="12.1796875" customWidth="1"/>
    <col min="20" max="20" width="14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  <c r="J1" t="s">
        <v>46</v>
      </c>
    </row>
    <row r="2" spans="1:21" x14ac:dyDescent="0.35">
      <c r="A2">
        <v>1001</v>
      </c>
      <c r="B2" s="1">
        <v>45660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55000</v>
      </c>
      <c r="I2">
        <f>H2*G2</f>
        <v>110000</v>
      </c>
      <c r="J2" t="str">
        <f>TEXT(B2,"MM")</f>
        <v>01</v>
      </c>
    </row>
    <row r="3" spans="1:21" x14ac:dyDescent="0.35">
      <c r="A3">
        <v>1002</v>
      </c>
      <c r="B3" s="1">
        <v>45662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3500</v>
      </c>
      <c r="I3">
        <f t="shared" ref="I3:I66" si="0">H3*G3</f>
        <v>17500</v>
      </c>
      <c r="J3" t="str">
        <f t="shared" ref="J3:J66" si="1">TEXT(B3,"MM")</f>
        <v>01</v>
      </c>
      <c r="K3" s="2" t="s">
        <v>34</v>
      </c>
      <c r="L3" s="2"/>
      <c r="M3" s="2"/>
      <c r="N3" s="2"/>
      <c r="O3" s="2"/>
      <c r="P3" s="2"/>
      <c r="Q3" s="2"/>
      <c r="R3" t="s">
        <v>37</v>
      </c>
      <c r="S3" t="s">
        <v>36</v>
      </c>
      <c r="T3" s="3">
        <f>SUM(I:I)</f>
        <v>19735050</v>
      </c>
    </row>
    <row r="4" spans="1:21" x14ac:dyDescent="0.35">
      <c r="A4">
        <v>1003</v>
      </c>
      <c r="B4" s="1">
        <v>45663</v>
      </c>
      <c r="C4" t="s">
        <v>16</v>
      </c>
      <c r="D4" t="s">
        <v>17</v>
      </c>
      <c r="E4" t="s">
        <v>10</v>
      </c>
      <c r="F4" t="s">
        <v>18</v>
      </c>
      <c r="G4">
        <v>3</v>
      </c>
      <c r="H4">
        <v>22000</v>
      </c>
      <c r="I4">
        <f t="shared" si="0"/>
        <v>66000</v>
      </c>
      <c r="J4" t="str">
        <f t="shared" si="1"/>
        <v>01</v>
      </c>
      <c r="K4" s="2"/>
      <c r="L4" s="2"/>
      <c r="M4" s="2"/>
      <c r="N4" s="2"/>
      <c r="O4" s="2"/>
      <c r="P4" s="2"/>
      <c r="Q4" s="2"/>
    </row>
    <row r="5" spans="1:21" x14ac:dyDescent="0.35">
      <c r="A5">
        <v>1004</v>
      </c>
      <c r="B5" s="1">
        <v>45664</v>
      </c>
      <c r="C5" t="s">
        <v>19</v>
      </c>
      <c r="D5" t="s">
        <v>20</v>
      </c>
      <c r="E5" t="s">
        <v>21</v>
      </c>
      <c r="F5" t="s">
        <v>22</v>
      </c>
      <c r="G5">
        <v>4</v>
      </c>
      <c r="H5">
        <v>2500</v>
      </c>
      <c r="I5">
        <f t="shared" si="0"/>
        <v>10000</v>
      </c>
      <c r="J5" t="str">
        <f t="shared" si="1"/>
        <v>01</v>
      </c>
      <c r="K5" s="2"/>
      <c r="L5" s="2"/>
      <c r="M5" s="2"/>
      <c r="N5" s="2"/>
      <c r="O5" s="2"/>
      <c r="P5" s="2"/>
      <c r="Q5" s="2"/>
    </row>
    <row r="6" spans="1:21" x14ac:dyDescent="0.35">
      <c r="A6">
        <v>1005</v>
      </c>
      <c r="B6" s="1">
        <v>45667</v>
      </c>
      <c r="C6" t="s">
        <v>8</v>
      </c>
      <c r="D6" t="s">
        <v>13</v>
      </c>
      <c r="E6" t="s">
        <v>14</v>
      </c>
      <c r="F6" t="s">
        <v>23</v>
      </c>
      <c r="G6">
        <v>2</v>
      </c>
      <c r="H6">
        <v>12000</v>
      </c>
      <c r="I6">
        <f t="shared" si="0"/>
        <v>24000</v>
      </c>
      <c r="J6" t="str">
        <f t="shared" si="1"/>
        <v>01</v>
      </c>
      <c r="K6" s="2"/>
      <c r="L6" s="2"/>
      <c r="M6" s="2"/>
      <c r="N6" s="2"/>
      <c r="O6" s="2"/>
      <c r="P6" s="2"/>
      <c r="Q6" s="2"/>
      <c r="R6" t="s">
        <v>38</v>
      </c>
      <c r="S6" t="s">
        <v>8</v>
      </c>
      <c r="T6">
        <f>SUMIF(C:C,S6,I:I)</f>
        <v>3344850</v>
      </c>
    </row>
    <row r="7" spans="1:21" x14ac:dyDescent="0.35">
      <c r="A7">
        <v>1006</v>
      </c>
      <c r="B7" s="1">
        <v>45668</v>
      </c>
      <c r="C7" t="s">
        <v>12</v>
      </c>
      <c r="D7" t="s">
        <v>24</v>
      </c>
      <c r="E7" t="s">
        <v>10</v>
      </c>
      <c r="F7" t="s">
        <v>25</v>
      </c>
      <c r="G7">
        <v>6</v>
      </c>
      <c r="H7">
        <v>2000</v>
      </c>
      <c r="I7">
        <f t="shared" si="0"/>
        <v>12000</v>
      </c>
      <c r="J7" t="str">
        <f t="shared" si="1"/>
        <v>01</v>
      </c>
      <c r="K7" s="2"/>
      <c r="L7" s="2"/>
      <c r="M7" s="2"/>
      <c r="N7" s="2"/>
      <c r="O7" s="2"/>
      <c r="P7" s="2"/>
      <c r="Q7" s="2"/>
      <c r="S7" t="s">
        <v>12</v>
      </c>
      <c r="T7">
        <f t="shared" ref="T7:T9" si="2">SUMIF(C:C,S7,I:I)</f>
        <v>7273800</v>
      </c>
    </row>
    <row r="8" spans="1:21" x14ac:dyDescent="0.35">
      <c r="A8">
        <v>1007</v>
      </c>
      <c r="B8" s="1">
        <v>45670</v>
      </c>
      <c r="C8" t="s">
        <v>16</v>
      </c>
      <c r="D8" t="s">
        <v>9</v>
      </c>
      <c r="E8" t="s">
        <v>21</v>
      </c>
      <c r="F8" t="s">
        <v>26</v>
      </c>
      <c r="G8">
        <v>3</v>
      </c>
      <c r="H8">
        <v>3000</v>
      </c>
      <c r="I8">
        <f t="shared" si="0"/>
        <v>9000</v>
      </c>
      <c r="J8" t="str">
        <f t="shared" si="1"/>
        <v>01</v>
      </c>
      <c r="K8" s="2"/>
      <c r="L8" s="2"/>
      <c r="M8" s="2"/>
      <c r="N8" s="2"/>
      <c r="O8" s="2"/>
      <c r="P8" s="2"/>
      <c r="Q8" s="2"/>
      <c r="S8" t="s">
        <v>16</v>
      </c>
      <c r="T8">
        <f t="shared" si="2"/>
        <v>3727850</v>
      </c>
    </row>
    <row r="9" spans="1:21" x14ac:dyDescent="0.35">
      <c r="A9">
        <v>1008</v>
      </c>
      <c r="B9" s="1">
        <v>45672</v>
      </c>
      <c r="C9" t="s">
        <v>19</v>
      </c>
      <c r="D9" t="s">
        <v>27</v>
      </c>
      <c r="E9" t="s">
        <v>10</v>
      </c>
      <c r="F9" t="s">
        <v>11</v>
      </c>
      <c r="G9">
        <v>1</v>
      </c>
      <c r="H9">
        <v>60000</v>
      </c>
      <c r="I9">
        <f t="shared" si="0"/>
        <v>60000</v>
      </c>
      <c r="J9" t="str">
        <f t="shared" si="1"/>
        <v>01</v>
      </c>
      <c r="K9" s="2"/>
      <c r="L9" s="2"/>
      <c r="M9" s="2"/>
      <c r="N9" s="2"/>
      <c r="O9" s="2"/>
      <c r="P9" s="2"/>
      <c r="Q9" s="2"/>
      <c r="S9" t="s">
        <v>19</v>
      </c>
      <c r="T9">
        <f t="shared" si="2"/>
        <v>5388550</v>
      </c>
    </row>
    <row r="10" spans="1:21" x14ac:dyDescent="0.35">
      <c r="A10">
        <v>1009</v>
      </c>
      <c r="B10" s="1">
        <v>45675</v>
      </c>
      <c r="C10" t="s">
        <v>8</v>
      </c>
      <c r="D10" t="s">
        <v>28</v>
      </c>
      <c r="E10" t="s">
        <v>14</v>
      </c>
      <c r="F10" t="s">
        <v>29</v>
      </c>
      <c r="G10">
        <v>1</v>
      </c>
      <c r="H10">
        <v>45000</v>
      </c>
      <c r="I10">
        <f t="shared" si="0"/>
        <v>45000</v>
      </c>
      <c r="J10" t="str">
        <f t="shared" si="1"/>
        <v>01</v>
      </c>
      <c r="K10" s="2"/>
      <c r="L10" s="2"/>
      <c r="M10" s="2"/>
      <c r="N10" s="2"/>
      <c r="O10" s="2"/>
      <c r="P10" s="2"/>
      <c r="Q10" s="2"/>
    </row>
    <row r="11" spans="1:21" x14ac:dyDescent="0.35">
      <c r="A11">
        <v>1010</v>
      </c>
      <c r="B11" s="1">
        <v>45677</v>
      </c>
      <c r="C11" t="s">
        <v>12</v>
      </c>
      <c r="D11" t="s">
        <v>17</v>
      </c>
      <c r="E11" t="s">
        <v>21</v>
      </c>
      <c r="F11" t="s">
        <v>30</v>
      </c>
      <c r="G11">
        <v>10</v>
      </c>
      <c r="H11">
        <v>800</v>
      </c>
      <c r="I11">
        <f t="shared" si="0"/>
        <v>8000</v>
      </c>
      <c r="J11" t="str">
        <f t="shared" si="1"/>
        <v>01</v>
      </c>
      <c r="K11" s="2"/>
      <c r="L11" s="2"/>
      <c r="M11" s="2"/>
      <c r="N11" s="2"/>
      <c r="O11" s="2"/>
      <c r="P11" s="2"/>
      <c r="Q11" s="2"/>
      <c r="R11" t="s">
        <v>39</v>
      </c>
      <c r="S11" s="4" t="s">
        <v>5</v>
      </c>
      <c r="T11" t="s">
        <v>40</v>
      </c>
      <c r="U11" t="s">
        <v>41</v>
      </c>
    </row>
    <row r="12" spans="1:21" x14ac:dyDescent="0.35">
      <c r="A12">
        <v>1011</v>
      </c>
      <c r="B12" s="1">
        <v>45690</v>
      </c>
      <c r="C12" t="s">
        <v>16</v>
      </c>
      <c r="D12" t="s">
        <v>31</v>
      </c>
      <c r="E12" t="s">
        <v>10</v>
      </c>
      <c r="F12" t="s">
        <v>18</v>
      </c>
      <c r="G12">
        <v>2</v>
      </c>
      <c r="H12">
        <v>21000</v>
      </c>
      <c r="I12">
        <f t="shared" si="0"/>
        <v>42000</v>
      </c>
      <c r="J12" t="str">
        <f t="shared" si="1"/>
        <v>02</v>
      </c>
      <c r="K12" s="2"/>
      <c r="L12" s="2"/>
      <c r="M12" s="2"/>
      <c r="N12" s="2"/>
      <c r="O12" s="2"/>
      <c r="P12" s="2"/>
      <c r="Q12" s="2"/>
      <c r="S12" t="s">
        <v>11</v>
      </c>
      <c r="T12">
        <f>SUMIF(F:F,S12,I:I)</f>
        <v>1739450</v>
      </c>
      <c r="U12">
        <f>SUMIF(F:F,S12,G:G)</f>
        <v>88</v>
      </c>
    </row>
    <row r="13" spans="1:21" x14ac:dyDescent="0.35">
      <c r="A13">
        <v>1012</v>
      </c>
      <c r="B13" s="1">
        <v>45692</v>
      </c>
      <c r="C13" t="s">
        <v>19</v>
      </c>
      <c r="D13" t="s">
        <v>13</v>
      </c>
      <c r="E13" t="s">
        <v>14</v>
      </c>
      <c r="F13" t="s">
        <v>15</v>
      </c>
      <c r="G13">
        <v>3</v>
      </c>
      <c r="H13">
        <v>3500</v>
      </c>
      <c r="I13">
        <f t="shared" si="0"/>
        <v>10500</v>
      </c>
      <c r="J13" t="str">
        <f t="shared" si="1"/>
        <v>02</v>
      </c>
      <c r="K13" s="2"/>
      <c r="L13" s="2"/>
      <c r="M13" s="2"/>
      <c r="N13" s="2"/>
      <c r="O13" s="2"/>
      <c r="P13" s="2"/>
      <c r="Q13" s="2"/>
      <c r="S13" t="s">
        <v>15</v>
      </c>
      <c r="T13">
        <f t="shared" ref="T13:T20" si="3">SUMIF(F:F,S13,I:I)</f>
        <v>2634700</v>
      </c>
      <c r="U13">
        <f t="shared" ref="U13:U20" si="4">SUMIF(F:F,S13,G:G)</f>
        <v>141</v>
      </c>
    </row>
    <row r="14" spans="1:21" x14ac:dyDescent="0.35">
      <c r="A14">
        <v>1013</v>
      </c>
      <c r="B14" s="1">
        <v>45694</v>
      </c>
      <c r="C14" t="s">
        <v>8</v>
      </c>
      <c r="D14" t="s">
        <v>32</v>
      </c>
      <c r="E14" t="s">
        <v>21</v>
      </c>
      <c r="F14" t="s">
        <v>22</v>
      </c>
      <c r="G14">
        <v>2</v>
      </c>
      <c r="H14">
        <v>2600</v>
      </c>
      <c r="I14">
        <f t="shared" si="0"/>
        <v>5200</v>
      </c>
      <c r="J14" t="str">
        <f t="shared" si="1"/>
        <v>02</v>
      </c>
      <c r="K14" s="2"/>
      <c r="L14" s="2"/>
      <c r="M14" s="2"/>
      <c r="N14" s="2"/>
      <c r="O14" s="2"/>
      <c r="P14" s="2"/>
      <c r="Q14" s="2"/>
      <c r="S14" t="s">
        <v>18</v>
      </c>
      <c r="T14">
        <f t="shared" si="3"/>
        <v>1914950</v>
      </c>
      <c r="U14">
        <f t="shared" si="4"/>
        <v>90</v>
      </c>
    </row>
    <row r="15" spans="1:21" x14ac:dyDescent="0.35">
      <c r="A15">
        <v>1014</v>
      </c>
      <c r="B15" s="1">
        <v>45696</v>
      </c>
      <c r="C15" t="s">
        <v>12</v>
      </c>
      <c r="D15" t="s">
        <v>20</v>
      </c>
      <c r="E15" t="s">
        <v>10</v>
      </c>
      <c r="F15" t="s">
        <v>11</v>
      </c>
      <c r="G15">
        <v>1</v>
      </c>
      <c r="H15">
        <v>58000</v>
      </c>
      <c r="I15">
        <f t="shared" si="0"/>
        <v>58000</v>
      </c>
      <c r="J15" t="str">
        <f t="shared" si="1"/>
        <v>02</v>
      </c>
      <c r="K15" s="2"/>
      <c r="L15" s="2"/>
      <c r="M15" s="2"/>
      <c r="N15" s="2"/>
      <c r="O15" s="2"/>
      <c r="P15" s="2"/>
      <c r="Q15" s="2"/>
      <c r="S15" t="s">
        <v>22</v>
      </c>
      <c r="T15">
        <f t="shared" si="3"/>
        <v>2003300</v>
      </c>
      <c r="U15">
        <f t="shared" si="4"/>
        <v>106</v>
      </c>
    </row>
    <row r="16" spans="1:21" x14ac:dyDescent="0.35">
      <c r="A16">
        <v>1015</v>
      </c>
      <c r="B16" s="1">
        <v>45698</v>
      </c>
      <c r="C16" t="s">
        <v>16</v>
      </c>
      <c r="D16" t="s">
        <v>33</v>
      </c>
      <c r="E16" t="s">
        <v>14</v>
      </c>
      <c r="F16" t="s">
        <v>23</v>
      </c>
      <c r="G16">
        <v>1</v>
      </c>
      <c r="H16">
        <v>11000</v>
      </c>
      <c r="I16">
        <f t="shared" si="0"/>
        <v>11000</v>
      </c>
      <c r="J16" t="str">
        <f t="shared" si="1"/>
        <v>02</v>
      </c>
      <c r="K16" s="2"/>
      <c r="L16" s="2"/>
      <c r="M16" s="2"/>
      <c r="N16" s="2"/>
      <c r="O16" s="2"/>
      <c r="P16" s="2"/>
      <c r="Q16" s="2"/>
      <c r="S16" t="s">
        <v>23</v>
      </c>
      <c r="T16">
        <f t="shared" si="3"/>
        <v>1132350</v>
      </c>
      <c r="U16">
        <f t="shared" si="4"/>
        <v>53</v>
      </c>
    </row>
    <row r="17" spans="1:21" x14ac:dyDescent="0.35">
      <c r="A17">
        <v>1016</v>
      </c>
      <c r="B17" s="1">
        <v>45700</v>
      </c>
      <c r="C17" t="s">
        <v>19</v>
      </c>
      <c r="D17" t="s">
        <v>9</v>
      </c>
      <c r="E17" t="s">
        <v>10</v>
      </c>
      <c r="F17" t="s">
        <v>25</v>
      </c>
      <c r="G17">
        <v>4</v>
      </c>
      <c r="H17">
        <v>2200</v>
      </c>
      <c r="I17">
        <f t="shared" si="0"/>
        <v>8800</v>
      </c>
      <c r="J17" t="str">
        <f t="shared" si="1"/>
        <v>02</v>
      </c>
      <c r="S17" t="s">
        <v>25</v>
      </c>
      <c r="T17">
        <f t="shared" si="3"/>
        <v>2685100</v>
      </c>
      <c r="U17">
        <f t="shared" si="4"/>
        <v>176</v>
      </c>
    </row>
    <row r="18" spans="1:21" x14ac:dyDescent="0.35">
      <c r="A18">
        <v>1017</v>
      </c>
      <c r="B18" s="1">
        <v>45703</v>
      </c>
      <c r="C18" t="s">
        <v>8</v>
      </c>
      <c r="D18" t="s">
        <v>24</v>
      </c>
      <c r="E18" t="s">
        <v>21</v>
      </c>
      <c r="F18" t="s">
        <v>26</v>
      </c>
      <c r="G18">
        <v>2</v>
      </c>
      <c r="H18">
        <v>3200</v>
      </c>
      <c r="I18">
        <f t="shared" si="0"/>
        <v>6400</v>
      </c>
      <c r="J18" t="str">
        <f t="shared" si="1"/>
        <v>02</v>
      </c>
      <c r="S18" t="s">
        <v>26</v>
      </c>
      <c r="T18">
        <f t="shared" si="3"/>
        <v>1874000</v>
      </c>
      <c r="U18">
        <f t="shared" si="4"/>
        <v>88</v>
      </c>
    </row>
    <row r="19" spans="1:21" x14ac:dyDescent="0.35">
      <c r="A19">
        <v>1018</v>
      </c>
      <c r="B19" s="1">
        <v>45706</v>
      </c>
      <c r="C19" t="s">
        <v>12</v>
      </c>
      <c r="D19" t="s">
        <v>27</v>
      </c>
      <c r="E19" t="s">
        <v>14</v>
      </c>
      <c r="F19" t="s">
        <v>29</v>
      </c>
      <c r="G19">
        <v>1</v>
      </c>
      <c r="H19">
        <v>47000</v>
      </c>
      <c r="I19">
        <f t="shared" si="0"/>
        <v>47000</v>
      </c>
      <c r="J19" t="str">
        <f t="shared" si="1"/>
        <v>02</v>
      </c>
      <c r="S19" t="s">
        <v>29</v>
      </c>
      <c r="T19">
        <f t="shared" si="3"/>
        <v>725450</v>
      </c>
      <c r="U19">
        <f t="shared" si="4"/>
        <v>35</v>
      </c>
    </row>
    <row r="20" spans="1:21" x14ac:dyDescent="0.35">
      <c r="A20">
        <v>1019</v>
      </c>
      <c r="B20" s="1">
        <v>45708</v>
      </c>
      <c r="C20" t="s">
        <v>16</v>
      </c>
      <c r="D20" t="s">
        <v>28</v>
      </c>
      <c r="E20" t="s">
        <v>10</v>
      </c>
      <c r="F20" t="s">
        <v>11</v>
      </c>
      <c r="G20">
        <v>1</v>
      </c>
      <c r="H20">
        <v>59000</v>
      </c>
      <c r="I20">
        <f t="shared" si="0"/>
        <v>59000</v>
      </c>
      <c r="J20" t="str">
        <f t="shared" si="1"/>
        <v>02</v>
      </c>
      <c r="S20" t="s">
        <v>30</v>
      </c>
      <c r="T20">
        <f t="shared" si="3"/>
        <v>5025750</v>
      </c>
      <c r="U20">
        <f t="shared" si="4"/>
        <v>265</v>
      </c>
    </row>
    <row r="21" spans="1:21" x14ac:dyDescent="0.35">
      <c r="A21">
        <v>1020</v>
      </c>
      <c r="B21" s="1">
        <v>45710</v>
      </c>
      <c r="C21" t="s">
        <v>19</v>
      </c>
      <c r="D21" t="s">
        <v>31</v>
      </c>
      <c r="E21" t="s">
        <v>21</v>
      </c>
      <c r="F21" t="s">
        <v>30</v>
      </c>
      <c r="G21">
        <v>5</v>
      </c>
      <c r="H21">
        <v>850</v>
      </c>
      <c r="I21">
        <f t="shared" si="0"/>
        <v>4250</v>
      </c>
      <c r="J21" t="str">
        <f t="shared" si="1"/>
        <v>02</v>
      </c>
    </row>
    <row r="22" spans="1:21" x14ac:dyDescent="0.35">
      <c r="A22">
        <v>1021</v>
      </c>
      <c r="B22" s="1">
        <v>45660</v>
      </c>
      <c r="C22" t="s">
        <v>8</v>
      </c>
      <c r="D22" t="s">
        <v>9</v>
      </c>
      <c r="E22" t="s">
        <v>10</v>
      </c>
      <c r="F22" t="s">
        <v>11</v>
      </c>
      <c r="G22">
        <v>2</v>
      </c>
      <c r="H22">
        <v>3500</v>
      </c>
      <c r="I22">
        <f t="shared" si="0"/>
        <v>7000</v>
      </c>
      <c r="J22" t="str">
        <f t="shared" si="1"/>
        <v>01</v>
      </c>
      <c r="R22" t="s">
        <v>42</v>
      </c>
      <c r="S22" t="s">
        <v>43</v>
      </c>
      <c r="T22">
        <v>1</v>
      </c>
      <c r="U22">
        <f>SUMIF(J:J,T22,I:I)</f>
        <v>12464500</v>
      </c>
    </row>
    <row r="23" spans="1:21" x14ac:dyDescent="0.35">
      <c r="A23">
        <v>1022</v>
      </c>
      <c r="B23" s="1">
        <v>45662</v>
      </c>
      <c r="C23" t="s">
        <v>12</v>
      </c>
      <c r="D23" t="s">
        <v>13</v>
      </c>
      <c r="E23" t="s">
        <v>14</v>
      </c>
      <c r="F23" t="s">
        <v>15</v>
      </c>
      <c r="G23">
        <v>5</v>
      </c>
      <c r="H23">
        <v>2600</v>
      </c>
      <c r="I23">
        <f t="shared" si="0"/>
        <v>13000</v>
      </c>
      <c r="J23" t="str">
        <f t="shared" si="1"/>
        <v>01</v>
      </c>
      <c r="S23" t="s">
        <v>44</v>
      </c>
      <c r="T23">
        <v>2</v>
      </c>
      <c r="U23">
        <f>SUMIF(J:J,T23,I:I)</f>
        <v>7270550</v>
      </c>
    </row>
    <row r="24" spans="1:21" x14ac:dyDescent="0.35">
      <c r="A24">
        <v>1023</v>
      </c>
      <c r="B24" s="1">
        <v>45663</v>
      </c>
      <c r="C24" t="s">
        <v>16</v>
      </c>
      <c r="D24" t="s">
        <v>17</v>
      </c>
      <c r="E24" t="s">
        <v>10</v>
      </c>
      <c r="F24" t="s">
        <v>18</v>
      </c>
      <c r="G24">
        <v>3</v>
      </c>
      <c r="H24">
        <v>58000</v>
      </c>
      <c r="I24">
        <f t="shared" si="0"/>
        <v>174000</v>
      </c>
      <c r="J24" t="str">
        <f t="shared" si="1"/>
        <v>01</v>
      </c>
    </row>
    <row r="25" spans="1:21" x14ac:dyDescent="0.35">
      <c r="A25">
        <v>1024</v>
      </c>
      <c r="B25" s="1">
        <v>45664</v>
      </c>
      <c r="C25" t="s">
        <v>19</v>
      </c>
      <c r="D25" t="s">
        <v>20</v>
      </c>
      <c r="E25" t="s">
        <v>21</v>
      </c>
      <c r="F25" t="s">
        <v>22</v>
      </c>
      <c r="G25">
        <v>4</v>
      </c>
      <c r="H25">
        <v>11000</v>
      </c>
      <c r="I25">
        <f t="shared" si="0"/>
        <v>44000</v>
      </c>
      <c r="J25" t="str">
        <f t="shared" si="1"/>
        <v>01</v>
      </c>
      <c r="R25" t="s">
        <v>45</v>
      </c>
      <c r="S25" t="s">
        <v>3</v>
      </c>
    </row>
    <row r="26" spans="1:21" x14ac:dyDescent="0.35">
      <c r="A26">
        <v>1025</v>
      </c>
      <c r="B26" s="1">
        <v>45667</v>
      </c>
      <c r="C26" t="s">
        <v>8</v>
      </c>
      <c r="D26" t="s">
        <v>13</v>
      </c>
      <c r="E26" t="s">
        <v>14</v>
      </c>
      <c r="F26" t="s">
        <v>23</v>
      </c>
      <c r="G26">
        <v>2</v>
      </c>
      <c r="H26">
        <v>2200</v>
      </c>
      <c r="I26">
        <f t="shared" si="0"/>
        <v>4400</v>
      </c>
      <c r="J26" t="str">
        <f t="shared" si="1"/>
        <v>01</v>
      </c>
      <c r="S26" t="s">
        <v>9</v>
      </c>
      <c r="T26">
        <f>SUMIF(D:D,S26,I:I)</f>
        <v>2965000</v>
      </c>
    </row>
    <row r="27" spans="1:21" x14ac:dyDescent="0.35">
      <c r="A27">
        <v>1026</v>
      </c>
      <c r="B27" s="1">
        <v>45668</v>
      </c>
      <c r="C27" t="s">
        <v>12</v>
      </c>
      <c r="D27" t="s">
        <v>24</v>
      </c>
      <c r="E27" t="s">
        <v>10</v>
      </c>
      <c r="F27" t="s">
        <v>25</v>
      </c>
      <c r="G27">
        <v>6</v>
      </c>
      <c r="H27">
        <v>3200</v>
      </c>
      <c r="I27">
        <f t="shared" si="0"/>
        <v>19200</v>
      </c>
      <c r="J27" t="str">
        <f t="shared" si="1"/>
        <v>01</v>
      </c>
      <c r="S27" t="s">
        <v>13</v>
      </c>
      <c r="T27">
        <f t="shared" ref="T27:T35" si="5">SUMIF(D:D,S27,I:I)</f>
        <v>3412900</v>
      </c>
    </row>
    <row r="28" spans="1:21" x14ac:dyDescent="0.35">
      <c r="A28">
        <v>1027</v>
      </c>
      <c r="B28" s="1">
        <v>45670</v>
      </c>
      <c r="C28" t="s">
        <v>16</v>
      </c>
      <c r="D28" t="s">
        <v>9</v>
      </c>
      <c r="E28" t="s">
        <v>21</v>
      </c>
      <c r="F28" t="s">
        <v>26</v>
      </c>
      <c r="G28">
        <v>3</v>
      </c>
      <c r="H28">
        <v>47000</v>
      </c>
      <c r="I28">
        <f t="shared" si="0"/>
        <v>141000</v>
      </c>
      <c r="J28" t="str">
        <f t="shared" si="1"/>
        <v>01</v>
      </c>
      <c r="S28" t="s">
        <v>17</v>
      </c>
      <c r="T28">
        <f t="shared" si="5"/>
        <v>4332750</v>
      </c>
    </row>
    <row r="29" spans="1:21" x14ac:dyDescent="0.35">
      <c r="A29">
        <v>1028</v>
      </c>
      <c r="B29" s="1">
        <v>45672</v>
      </c>
      <c r="C29" t="s">
        <v>19</v>
      </c>
      <c r="D29" t="s">
        <v>27</v>
      </c>
      <c r="E29" t="s">
        <v>10</v>
      </c>
      <c r="F29" t="s">
        <v>11</v>
      </c>
      <c r="G29">
        <v>1</v>
      </c>
      <c r="H29">
        <v>59000</v>
      </c>
      <c r="I29">
        <f t="shared" si="0"/>
        <v>59000</v>
      </c>
      <c r="J29" t="str">
        <f t="shared" si="1"/>
        <v>01</v>
      </c>
      <c r="S29" t="s">
        <v>20</v>
      </c>
      <c r="T29">
        <f t="shared" si="5"/>
        <v>1615450</v>
      </c>
    </row>
    <row r="30" spans="1:21" x14ac:dyDescent="0.35">
      <c r="A30">
        <v>1029</v>
      </c>
      <c r="B30" s="1">
        <v>45675</v>
      </c>
      <c r="C30" t="s">
        <v>8</v>
      </c>
      <c r="D30" t="s">
        <v>28</v>
      </c>
      <c r="E30" t="s">
        <v>14</v>
      </c>
      <c r="F30" t="s">
        <v>29</v>
      </c>
      <c r="G30">
        <v>1</v>
      </c>
      <c r="H30">
        <v>850</v>
      </c>
      <c r="I30">
        <f t="shared" si="0"/>
        <v>850</v>
      </c>
      <c r="J30" t="str">
        <f t="shared" si="1"/>
        <v>01</v>
      </c>
      <c r="S30" t="s">
        <v>24</v>
      </c>
      <c r="T30">
        <f t="shared" si="5"/>
        <v>2309600</v>
      </c>
    </row>
    <row r="31" spans="1:21" x14ac:dyDescent="0.35">
      <c r="A31">
        <v>1030</v>
      </c>
      <c r="B31" s="1">
        <v>45677</v>
      </c>
      <c r="C31" t="s">
        <v>12</v>
      </c>
      <c r="D31" t="s">
        <v>17</v>
      </c>
      <c r="E31" t="s">
        <v>21</v>
      </c>
      <c r="F31" t="s">
        <v>30</v>
      </c>
      <c r="G31">
        <v>10</v>
      </c>
      <c r="H31">
        <v>2500</v>
      </c>
      <c r="I31">
        <f t="shared" si="0"/>
        <v>25000</v>
      </c>
      <c r="J31" t="str">
        <f t="shared" si="1"/>
        <v>01</v>
      </c>
      <c r="S31" t="s">
        <v>27</v>
      </c>
      <c r="T31">
        <f t="shared" si="5"/>
        <v>701350</v>
      </c>
    </row>
    <row r="32" spans="1:21" x14ac:dyDescent="0.35">
      <c r="A32">
        <v>1031</v>
      </c>
      <c r="B32" s="1">
        <v>45690</v>
      </c>
      <c r="C32" t="s">
        <v>16</v>
      </c>
      <c r="D32" t="s">
        <v>31</v>
      </c>
      <c r="E32" t="s">
        <v>10</v>
      </c>
      <c r="F32" t="s">
        <v>18</v>
      </c>
      <c r="G32">
        <v>2</v>
      </c>
      <c r="H32">
        <v>12000</v>
      </c>
      <c r="I32">
        <f t="shared" si="0"/>
        <v>24000</v>
      </c>
      <c r="J32" t="str">
        <f t="shared" si="1"/>
        <v>02</v>
      </c>
      <c r="S32" t="s">
        <v>28</v>
      </c>
      <c r="T32">
        <f t="shared" si="5"/>
        <v>716400</v>
      </c>
    </row>
    <row r="33" spans="1:20" x14ac:dyDescent="0.35">
      <c r="A33">
        <v>1032</v>
      </c>
      <c r="B33" s="1">
        <v>45692</v>
      </c>
      <c r="C33" t="s">
        <v>19</v>
      </c>
      <c r="D33" t="s">
        <v>13</v>
      </c>
      <c r="E33" t="s">
        <v>14</v>
      </c>
      <c r="F33" t="s">
        <v>15</v>
      </c>
      <c r="G33">
        <v>3</v>
      </c>
      <c r="H33">
        <v>2000</v>
      </c>
      <c r="I33">
        <f t="shared" si="0"/>
        <v>6000</v>
      </c>
      <c r="J33" t="str">
        <f t="shared" si="1"/>
        <v>02</v>
      </c>
      <c r="S33" t="s">
        <v>31</v>
      </c>
      <c r="T33">
        <f t="shared" si="5"/>
        <v>2607950</v>
      </c>
    </row>
    <row r="34" spans="1:20" x14ac:dyDescent="0.35">
      <c r="A34">
        <v>1033</v>
      </c>
      <c r="B34" s="1">
        <v>45694</v>
      </c>
      <c r="C34" t="s">
        <v>8</v>
      </c>
      <c r="D34" t="s">
        <v>32</v>
      </c>
      <c r="E34" t="s">
        <v>21</v>
      </c>
      <c r="F34" t="s">
        <v>22</v>
      </c>
      <c r="G34">
        <v>2</v>
      </c>
      <c r="H34">
        <v>3000</v>
      </c>
      <c r="I34">
        <f t="shared" si="0"/>
        <v>6000</v>
      </c>
      <c r="J34" t="str">
        <f t="shared" si="1"/>
        <v>02</v>
      </c>
      <c r="S34" t="s">
        <v>32</v>
      </c>
      <c r="T34">
        <f t="shared" si="5"/>
        <v>719500</v>
      </c>
    </row>
    <row r="35" spans="1:20" x14ac:dyDescent="0.35">
      <c r="A35">
        <v>1034</v>
      </c>
      <c r="B35" s="1">
        <v>45696</v>
      </c>
      <c r="C35" t="s">
        <v>12</v>
      </c>
      <c r="D35" t="s">
        <v>20</v>
      </c>
      <c r="E35" t="s">
        <v>10</v>
      </c>
      <c r="F35" t="s">
        <v>11</v>
      </c>
      <c r="G35">
        <v>1</v>
      </c>
      <c r="H35">
        <v>60000</v>
      </c>
      <c r="I35">
        <f t="shared" si="0"/>
        <v>60000</v>
      </c>
      <c r="J35" t="str">
        <f t="shared" si="1"/>
        <v>02</v>
      </c>
      <c r="S35" t="s">
        <v>33</v>
      </c>
      <c r="T35">
        <f t="shared" si="5"/>
        <v>354150</v>
      </c>
    </row>
    <row r="36" spans="1:20" x14ac:dyDescent="0.35">
      <c r="A36">
        <v>1035</v>
      </c>
      <c r="B36" s="1">
        <v>45698</v>
      </c>
      <c r="C36" t="s">
        <v>16</v>
      </c>
      <c r="D36" t="s">
        <v>33</v>
      </c>
      <c r="E36" t="s">
        <v>14</v>
      </c>
      <c r="F36" t="s">
        <v>23</v>
      </c>
      <c r="G36">
        <v>1</v>
      </c>
      <c r="H36">
        <v>45000</v>
      </c>
      <c r="I36">
        <f t="shared" si="0"/>
        <v>45000</v>
      </c>
      <c r="J36" t="str">
        <f t="shared" si="1"/>
        <v>02</v>
      </c>
    </row>
    <row r="37" spans="1:20" x14ac:dyDescent="0.35">
      <c r="A37">
        <v>1036</v>
      </c>
      <c r="B37" s="1">
        <v>45700</v>
      </c>
      <c r="C37" t="s">
        <v>19</v>
      </c>
      <c r="D37" t="s">
        <v>9</v>
      </c>
      <c r="E37" t="s">
        <v>10</v>
      </c>
      <c r="F37" t="s">
        <v>25</v>
      </c>
      <c r="G37">
        <v>4</v>
      </c>
      <c r="H37">
        <v>800</v>
      </c>
      <c r="I37">
        <f t="shared" si="0"/>
        <v>3200</v>
      </c>
      <c r="J37" t="str">
        <f t="shared" si="1"/>
        <v>02</v>
      </c>
    </row>
    <row r="38" spans="1:20" x14ac:dyDescent="0.35">
      <c r="A38">
        <v>1037</v>
      </c>
      <c r="B38" s="1">
        <v>45703</v>
      </c>
      <c r="C38" t="s">
        <v>8</v>
      </c>
      <c r="D38" t="s">
        <v>24</v>
      </c>
      <c r="E38" t="s">
        <v>21</v>
      </c>
      <c r="F38" t="s">
        <v>26</v>
      </c>
      <c r="G38">
        <v>2</v>
      </c>
      <c r="H38">
        <v>21000</v>
      </c>
      <c r="I38">
        <f t="shared" si="0"/>
        <v>42000</v>
      </c>
      <c r="J38" t="str">
        <f t="shared" si="1"/>
        <v>02</v>
      </c>
    </row>
    <row r="39" spans="1:20" x14ac:dyDescent="0.35">
      <c r="A39">
        <v>1038</v>
      </c>
      <c r="B39" s="1">
        <v>45706</v>
      </c>
      <c r="C39" t="s">
        <v>12</v>
      </c>
      <c r="D39" t="s">
        <v>27</v>
      </c>
      <c r="E39" t="s">
        <v>14</v>
      </c>
      <c r="F39" t="s">
        <v>29</v>
      </c>
      <c r="G39">
        <v>1</v>
      </c>
      <c r="H39">
        <v>3500</v>
      </c>
      <c r="I39">
        <f t="shared" si="0"/>
        <v>3500</v>
      </c>
      <c r="J39" t="str">
        <f t="shared" si="1"/>
        <v>02</v>
      </c>
    </row>
    <row r="40" spans="1:20" x14ac:dyDescent="0.35">
      <c r="A40">
        <v>1039</v>
      </c>
      <c r="B40" s="1">
        <v>45708</v>
      </c>
      <c r="C40" t="s">
        <v>16</v>
      </c>
      <c r="D40" t="s">
        <v>28</v>
      </c>
      <c r="E40" t="s">
        <v>10</v>
      </c>
      <c r="F40" t="s">
        <v>11</v>
      </c>
      <c r="G40">
        <v>1</v>
      </c>
      <c r="H40">
        <v>2600</v>
      </c>
      <c r="I40">
        <f t="shared" si="0"/>
        <v>2600</v>
      </c>
      <c r="J40" t="str">
        <f t="shared" si="1"/>
        <v>02</v>
      </c>
    </row>
    <row r="41" spans="1:20" x14ac:dyDescent="0.35">
      <c r="A41">
        <v>1040</v>
      </c>
      <c r="B41" s="1">
        <v>45710</v>
      </c>
      <c r="C41" t="s">
        <v>19</v>
      </c>
      <c r="D41" t="s">
        <v>31</v>
      </c>
      <c r="E41" t="s">
        <v>21</v>
      </c>
      <c r="F41" t="s">
        <v>30</v>
      </c>
      <c r="G41">
        <v>5</v>
      </c>
      <c r="H41">
        <v>58000</v>
      </c>
      <c r="I41">
        <f t="shared" si="0"/>
        <v>290000</v>
      </c>
      <c r="J41" t="str">
        <f t="shared" si="1"/>
        <v>02</v>
      </c>
    </row>
    <row r="42" spans="1:20" x14ac:dyDescent="0.35">
      <c r="A42">
        <v>1041</v>
      </c>
      <c r="B42" s="1">
        <v>45660</v>
      </c>
      <c r="C42" t="s">
        <v>8</v>
      </c>
      <c r="D42" t="s">
        <v>9</v>
      </c>
      <c r="E42" t="s">
        <v>10</v>
      </c>
      <c r="F42" t="s">
        <v>11</v>
      </c>
      <c r="G42">
        <v>2</v>
      </c>
      <c r="H42">
        <v>11000</v>
      </c>
      <c r="I42">
        <f t="shared" si="0"/>
        <v>22000</v>
      </c>
      <c r="J42" t="str">
        <f t="shared" si="1"/>
        <v>01</v>
      </c>
    </row>
    <row r="43" spans="1:20" x14ac:dyDescent="0.35">
      <c r="A43">
        <v>1042</v>
      </c>
      <c r="B43" s="1">
        <v>45662</v>
      </c>
      <c r="C43" t="s">
        <v>12</v>
      </c>
      <c r="D43" t="s">
        <v>13</v>
      </c>
      <c r="E43" t="s">
        <v>14</v>
      </c>
      <c r="F43" t="s">
        <v>15</v>
      </c>
      <c r="G43">
        <v>5</v>
      </c>
      <c r="H43">
        <v>2200</v>
      </c>
      <c r="I43">
        <f t="shared" si="0"/>
        <v>11000</v>
      </c>
      <c r="J43" t="str">
        <f t="shared" si="1"/>
        <v>01</v>
      </c>
    </row>
    <row r="44" spans="1:20" x14ac:dyDescent="0.35">
      <c r="A44">
        <v>1043</v>
      </c>
      <c r="B44" s="1">
        <v>45663</v>
      </c>
      <c r="C44" t="s">
        <v>16</v>
      </c>
      <c r="D44" t="s">
        <v>17</v>
      </c>
      <c r="E44" t="s">
        <v>10</v>
      </c>
      <c r="F44" t="s">
        <v>18</v>
      </c>
      <c r="G44">
        <v>3</v>
      </c>
      <c r="H44">
        <v>55000</v>
      </c>
      <c r="I44">
        <f t="shared" si="0"/>
        <v>165000</v>
      </c>
      <c r="J44" t="str">
        <f t="shared" si="1"/>
        <v>01</v>
      </c>
    </row>
    <row r="45" spans="1:20" x14ac:dyDescent="0.35">
      <c r="A45">
        <v>1044</v>
      </c>
      <c r="B45" s="1">
        <v>45664</v>
      </c>
      <c r="C45" t="s">
        <v>19</v>
      </c>
      <c r="D45" t="s">
        <v>20</v>
      </c>
      <c r="E45" t="s">
        <v>21</v>
      </c>
      <c r="F45" t="s">
        <v>22</v>
      </c>
      <c r="G45">
        <v>4</v>
      </c>
      <c r="H45">
        <v>3500</v>
      </c>
      <c r="I45">
        <f t="shared" si="0"/>
        <v>14000</v>
      </c>
      <c r="J45" t="str">
        <f t="shared" si="1"/>
        <v>01</v>
      </c>
    </row>
    <row r="46" spans="1:20" x14ac:dyDescent="0.35">
      <c r="A46">
        <v>1045</v>
      </c>
      <c r="B46" s="1">
        <v>45667</v>
      </c>
      <c r="C46" t="s">
        <v>8</v>
      </c>
      <c r="D46" t="s">
        <v>13</v>
      </c>
      <c r="E46" t="s">
        <v>14</v>
      </c>
      <c r="F46" t="s">
        <v>23</v>
      </c>
      <c r="G46">
        <v>2</v>
      </c>
      <c r="H46">
        <v>22000</v>
      </c>
      <c r="I46">
        <f t="shared" si="0"/>
        <v>44000</v>
      </c>
      <c r="J46" t="str">
        <f t="shared" si="1"/>
        <v>01</v>
      </c>
    </row>
    <row r="47" spans="1:20" x14ac:dyDescent="0.35">
      <c r="A47">
        <v>1046</v>
      </c>
      <c r="B47" s="1">
        <v>45668</v>
      </c>
      <c r="C47" t="s">
        <v>12</v>
      </c>
      <c r="D47" t="s">
        <v>24</v>
      </c>
      <c r="E47" t="s">
        <v>10</v>
      </c>
      <c r="F47" t="s">
        <v>25</v>
      </c>
      <c r="G47">
        <v>6</v>
      </c>
      <c r="H47">
        <v>2500</v>
      </c>
      <c r="I47">
        <f t="shared" si="0"/>
        <v>15000</v>
      </c>
      <c r="J47" t="str">
        <f t="shared" si="1"/>
        <v>01</v>
      </c>
    </row>
    <row r="48" spans="1:20" x14ac:dyDescent="0.35">
      <c r="A48">
        <v>1047</v>
      </c>
      <c r="B48" s="1">
        <v>45670</v>
      </c>
      <c r="C48" t="s">
        <v>16</v>
      </c>
      <c r="D48" t="s">
        <v>9</v>
      </c>
      <c r="E48" t="s">
        <v>21</v>
      </c>
      <c r="F48" t="s">
        <v>26</v>
      </c>
      <c r="G48">
        <v>3</v>
      </c>
      <c r="H48">
        <v>12000</v>
      </c>
      <c r="I48">
        <f t="shared" si="0"/>
        <v>36000</v>
      </c>
      <c r="J48" t="str">
        <f t="shared" si="1"/>
        <v>01</v>
      </c>
    </row>
    <row r="49" spans="1:10" x14ac:dyDescent="0.35">
      <c r="A49">
        <v>1048</v>
      </c>
      <c r="B49" s="1">
        <v>45672</v>
      </c>
      <c r="C49" t="s">
        <v>19</v>
      </c>
      <c r="D49" t="s">
        <v>27</v>
      </c>
      <c r="E49" t="s">
        <v>10</v>
      </c>
      <c r="F49" t="s">
        <v>11</v>
      </c>
      <c r="G49">
        <v>1</v>
      </c>
      <c r="H49">
        <v>2000</v>
      </c>
      <c r="I49">
        <f t="shared" si="0"/>
        <v>2000</v>
      </c>
      <c r="J49" t="str">
        <f t="shared" si="1"/>
        <v>01</v>
      </c>
    </row>
    <row r="50" spans="1:10" x14ac:dyDescent="0.35">
      <c r="A50">
        <v>1049</v>
      </c>
      <c r="B50" s="1">
        <v>45675</v>
      </c>
      <c r="C50" t="s">
        <v>8</v>
      </c>
      <c r="D50" t="s">
        <v>28</v>
      </c>
      <c r="E50" t="s">
        <v>14</v>
      </c>
      <c r="F50" t="s">
        <v>29</v>
      </c>
      <c r="G50">
        <v>1</v>
      </c>
      <c r="H50">
        <v>3000</v>
      </c>
      <c r="I50">
        <f t="shared" si="0"/>
        <v>3000</v>
      </c>
      <c r="J50" t="str">
        <f t="shared" si="1"/>
        <v>01</v>
      </c>
    </row>
    <row r="51" spans="1:10" x14ac:dyDescent="0.35">
      <c r="A51">
        <v>1050</v>
      </c>
      <c r="B51" s="1">
        <v>45677</v>
      </c>
      <c r="C51" t="s">
        <v>12</v>
      </c>
      <c r="D51" t="s">
        <v>17</v>
      </c>
      <c r="E51" t="s">
        <v>21</v>
      </c>
      <c r="F51" t="s">
        <v>30</v>
      </c>
      <c r="G51">
        <v>10</v>
      </c>
      <c r="H51">
        <v>60000</v>
      </c>
      <c r="I51">
        <f t="shared" si="0"/>
        <v>600000</v>
      </c>
      <c r="J51" t="str">
        <f t="shared" si="1"/>
        <v>01</v>
      </c>
    </row>
    <row r="52" spans="1:10" x14ac:dyDescent="0.35">
      <c r="A52">
        <v>1051</v>
      </c>
      <c r="B52" s="1">
        <v>45690</v>
      </c>
      <c r="C52" t="s">
        <v>16</v>
      </c>
      <c r="D52" t="s">
        <v>31</v>
      </c>
      <c r="E52" t="s">
        <v>10</v>
      </c>
      <c r="F52" t="s">
        <v>18</v>
      </c>
      <c r="G52">
        <v>2</v>
      </c>
      <c r="H52">
        <v>45000</v>
      </c>
      <c r="I52">
        <f t="shared" si="0"/>
        <v>90000</v>
      </c>
      <c r="J52" t="str">
        <f t="shared" si="1"/>
        <v>02</v>
      </c>
    </row>
    <row r="53" spans="1:10" x14ac:dyDescent="0.35">
      <c r="A53">
        <v>1052</v>
      </c>
      <c r="B53" s="1">
        <v>45692</v>
      </c>
      <c r="C53" t="s">
        <v>19</v>
      </c>
      <c r="D53" t="s">
        <v>13</v>
      </c>
      <c r="E53" t="s">
        <v>14</v>
      </c>
      <c r="F53" t="s">
        <v>15</v>
      </c>
      <c r="G53">
        <v>3</v>
      </c>
      <c r="H53">
        <v>800</v>
      </c>
      <c r="I53">
        <f t="shared" si="0"/>
        <v>2400</v>
      </c>
      <c r="J53" t="str">
        <f t="shared" si="1"/>
        <v>02</v>
      </c>
    </row>
    <row r="54" spans="1:10" x14ac:dyDescent="0.35">
      <c r="A54">
        <v>1053</v>
      </c>
      <c r="B54" s="1">
        <v>45694</v>
      </c>
      <c r="C54" t="s">
        <v>8</v>
      </c>
      <c r="D54" t="s">
        <v>32</v>
      </c>
      <c r="E54" t="s">
        <v>21</v>
      </c>
      <c r="F54" t="s">
        <v>22</v>
      </c>
      <c r="G54">
        <v>2</v>
      </c>
      <c r="H54">
        <v>21000</v>
      </c>
      <c r="I54">
        <f t="shared" si="0"/>
        <v>42000</v>
      </c>
      <c r="J54" t="str">
        <f t="shared" si="1"/>
        <v>02</v>
      </c>
    </row>
    <row r="55" spans="1:10" x14ac:dyDescent="0.35">
      <c r="A55">
        <v>1054</v>
      </c>
      <c r="B55" s="1">
        <v>45696</v>
      </c>
      <c r="C55" t="s">
        <v>12</v>
      </c>
      <c r="D55" t="s">
        <v>20</v>
      </c>
      <c r="E55" t="s">
        <v>10</v>
      </c>
      <c r="F55" t="s">
        <v>11</v>
      </c>
      <c r="G55">
        <v>1</v>
      </c>
      <c r="H55">
        <v>3500</v>
      </c>
      <c r="I55">
        <f t="shared" si="0"/>
        <v>3500</v>
      </c>
      <c r="J55" t="str">
        <f t="shared" si="1"/>
        <v>02</v>
      </c>
    </row>
    <row r="56" spans="1:10" x14ac:dyDescent="0.35">
      <c r="A56">
        <v>1055</v>
      </c>
      <c r="B56" s="1">
        <v>45698</v>
      </c>
      <c r="C56" t="s">
        <v>16</v>
      </c>
      <c r="D56" t="s">
        <v>33</v>
      </c>
      <c r="E56" t="s">
        <v>14</v>
      </c>
      <c r="F56" t="s">
        <v>23</v>
      </c>
      <c r="G56">
        <v>1</v>
      </c>
      <c r="H56">
        <v>2600</v>
      </c>
      <c r="I56">
        <f t="shared" si="0"/>
        <v>2600</v>
      </c>
      <c r="J56" t="str">
        <f t="shared" si="1"/>
        <v>02</v>
      </c>
    </row>
    <row r="57" spans="1:10" x14ac:dyDescent="0.35">
      <c r="A57">
        <v>1056</v>
      </c>
      <c r="B57" s="1">
        <v>45700</v>
      </c>
      <c r="C57" t="s">
        <v>19</v>
      </c>
      <c r="D57" t="s">
        <v>9</v>
      </c>
      <c r="E57" t="s">
        <v>10</v>
      </c>
      <c r="F57" t="s">
        <v>25</v>
      </c>
      <c r="G57">
        <v>4</v>
      </c>
      <c r="H57">
        <v>58000</v>
      </c>
      <c r="I57">
        <f t="shared" si="0"/>
        <v>232000</v>
      </c>
      <c r="J57" t="str">
        <f t="shared" si="1"/>
        <v>02</v>
      </c>
    </row>
    <row r="58" spans="1:10" x14ac:dyDescent="0.35">
      <c r="A58">
        <v>1057</v>
      </c>
      <c r="B58" s="1">
        <v>45703</v>
      </c>
      <c r="C58" t="s">
        <v>8</v>
      </c>
      <c r="D58" t="s">
        <v>24</v>
      </c>
      <c r="E58" t="s">
        <v>21</v>
      </c>
      <c r="F58" t="s">
        <v>26</v>
      </c>
      <c r="G58">
        <v>2</v>
      </c>
      <c r="H58">
        <v>11000</v>
      </c>
      <c r="I58">
        <f t="shared" si="0"/>
        <v>22000</v>
      </c>
      <c r="J58" t="str">
        <f t="shared" si="1"/>
        <v>02</v>
      </c>
    </row>
    <row r="59" spans="1:10" x14ac:dyDescent="0.35">
      <c r="A59">
        <v>1058</v>
      </c>
      <c r="B59" s="1">
        <v>45706</v>
      </c>
      <c r="C59" t="s">
        <v>12</v>
      </c>
      <c r="D59" t="s">
        <v>27</v>
      </c>
      <c r="E59" t="s">
        <v>14</v>
      </c>
      <c r="F59" t="s">
        <v>29</v>
      </c>
      <c r="G59">
        <v>1</v>
      </c>
      <c r="H59">
        <v>2200</v>
      </c>
      <c r="I59">
        <f t="shared" si="0"/>
        <v>2200</v>
      </c>
      <c r="J59" t="str">
        <f t="shared" si="1"/>
        <v>02</v>
      </c>
    </row>
    <row r="60" spans="1:10" x14ac:dyDescent="0.35">
      <c r="A60">
        <v>1059</v>
      </c>
      <c r="B60" s="1">
        <v>45708</v>
      </c>
      <c r="C60" t="s">
        <v>16</v>
      </c>
      <c r="D60" t="s">
        <v>28</v>
      </c>
      <c r="E60" t="s">
        <v>10</v>
      </c>
      <c r="F60" t="s">
        <v>11</v>
      </c>
      <c r="G60">
        <v>1</v>
      </c>
      <c r="H60">
        <v>3200</v>
      </c>
      <c r="I60">
        <f t="shared" si="0"/>
        <v>3200</v>
      </c>
      <c r="J60" t="str">
        <f t="shared" si="1"/>
        <v>02</v>
      </c>
    </row>
    <row r="61" spans="1:10" x14ac:dyDescent="0.35">
      <c r="A61">
        <v>1060</v>
      </c>
      <c r="B61" s="1">
        <v>45710</v>
      </c>
      <c r="C61" t="s">
        <v>19</v>
      </c>
      <c r="D61" t="s">
        <v>31</v>
      </c>
      <c r="E61" t="s">
        <v>21</v>
      </c>
      <c r="F61" t="s">
        <v>30</v>
      </c>
      <c r="G61">
        <v>5</v>
      </c>
      <c r="H61">
        <v>47000</v>
      </c>
      <c r="I61">
        <f t="shared" si="0"/>
        <v>235000</v>
      </c>
      <c r="J61" t="str">
        <f t="shared" si="1"/>
        <v>02</v>
      </c>
    </row>
    <row r="62" spans="1:10" x14ac:dyDescent="0.35">
      <c r="A62">
        <v>1061</v>
      </c>
      <c r="B62" s="1">
        <v>45660</v>
      </c>
      <c r="C62" t="s">
        <v>8</v>
      </c>
      <c r="D62" t="s">
        <v>9</v>
      </c>
      <c r="E62" t="s">
        <v>10</v>
      </c>
      <c r="F62" t="s">
        <v>11</v>
      </c>
      <c r="G62">
        <v>2</v>
      </c>
      <c r="H62">
        <v>59000</v>
      </c>
      <c r="I62">
        <f t="shared" si="0"/>
        <v>118000</v>
      </c>
      <c r="J62" t="str">
        <f t="shared" si="1"/>
        <v>01</v>
      </c>
    </row>
    <row r="63" spans="1:10" x14ac:dyDescent="0.35">
      <c r="A63">
        <v>1062</v>
      </c>
      <c r="B63" s="1">
        <v>45662</v>
      </c>
      <c r="C63" t="s">
        <v>12</v>
      </c>
      <c r="D63" t="s">
        <v>13</v>
      </c>
      <c r="E63" t="s">
        <v>14</v>
      </c>
      <c r="F63" t="s">
        <v>15</v>
      </c>
      <c r="G63">
        <v>5</v>
      </c>
      <c r="H63">
        <v>850</v>
      </c>
      <c r="I63">
        <f t="shared" si="0"/>
        <v>4250</v>
      </c>
      <c r="J63" t="str">
        <f t="shared" si="1"/>
        <v>01</v>
      </c>
    </row>
    <row r="64" spans="1:10" x14ac:dyDescent="0.35">
      <c r="A64">
        <v>1063</v>
      </c>
      <c r="B64" s="1">
        <v>45663</v>
      </c>
      <c r="C64" t="s">
        <v>16</v>
      </c>
      <c r="D64" t="s">
        <v>17</v>
      </c>
      <c r="E64" t="s">
        <v>10</v>
      </c>
      <c r="F64" t="s">
        <v>18</v>
      </c>
      <c r="G64">
        <v>3</v>
      </c>
      <c r="H64">
        <v>3500</v>
      </c>
      <c r="I64">
        <f t="shared" si="0"/>
        <v>10500</v>
      </c>
      <c r="J64" t="str">
        <f t="shared" si="1"/>
        <v>01</v>
      </c>
    </row>
    <row r="65" spans="1:10" x14ac:dyDescent="0.35">
      <c r="A65">
        <v>1064</v>
      </c>
      <c r="B65" s="1">
        <v>45664</v>
      </c>
      <c r="C65" t="s">
        <v>19</v>
      </c>
      <c r="D65" t="s">
        <v>20</v>
      </c>
      <c r="E65" t="s">
        <v>21</v>
      </c>
      <c r="F65" t="s">
        <v>22</v>
      </c>
      <c r="G65">
        <v>4</v>
      </c>
      <c r="H65">
        <v>2600</v>
      </c>
      <c r="I65">
        <f t="shared" si="0"/>
        <v>10400</v>
      </c>
      <c r="J65" t="str">
        <f t="shared" si="1"/>
        <v>01</v>
      </c>
    </row>
    <row r="66" spans="1:10" x14ac:dyDescent="0.35">
      <c r="A66">
        <v>1065</v>
      </c>
      <c r="B66" s="1">
        <v>45667</v>
      </c>
      <c r="C66" t="s">
        <v>8</v>
      </c>
      <c r="D66" t="s">
        <v>13</v>
      </c>
      <c r="E66" t="s">
        <v>14</v>
      </c>
      <c r="F66" t="s">
        <v>23</v>
      </c>
      <c r="G66">
        <v>2</v>
      </c>
      <c r="H66">
        <v>58000</v>
      </c>
      <c r="I66">
        <f t="shared" si="0"/>
        <v>116000</v>
      </c>
      <c r="J66" t="str">
        <f t="shared" si="1"/>
        <v>01</v>
      </c>
    </row>
    <row r="67" spans="1:10" x14ac:dyDescent="0.35">
      <c r="A67">
        <v>1066</v>
      </c>
      <c r="B67" s="1">
        <v>45668</v>
      </c>
      <c r="C67" t="s">
        <v>12</v>
      </c>
      <c r="D67" t="s">
        <v>24</v>
      </c>
      <c r="E67" t="s">
        <v>10</v>
      </c>
      <c r="F67" t="s">
        <v>25</v>
      </c>
      <c r="G67">
        <v>6</v>
      </c>
      <c r="H67">
        <v>11000</v>
      </c>
      <c r="I67">
        <f t="shared" ref="I67:I130" si="6">H67*G67</f>
        <v>66000</v>
      </c>
      <c r="J67" t="str">
        <f t="shared" ref="J67:J130" si="7">TEXT(B67,"MM")</f>
        <v>01</v>
      </c>
    </row>
    <row r="68" spans="1:10" x14ac:dyDescent="0.35">
      <c r="A68">
        <v>1067</v>
      </c>
      <c r="B68" s="1">
        <v>45670</v>
      </c>
      <c r="C68" t="s">
        <v>16</v>
      </c>
      <c r="D68" t="s">
        <v>9</v>
      </c>
      <c r="E68" t="s">
        <v>21</v>
      </c>
      <c r="F68" t="s">
        <v>26</v>
      </c>
      <c r="G68">
        <v>3</v>
      </c>
      <c r="H68">
        <v>2200</v>
      </c>
      <c r="I68">
        <f t="shared" si="6"/>
        <v>6600</v>
      </c>
      <c r="J68" t="str">
        <f t="shared" si="7"/>
        <v>01</v>
      </c>
    </row>
    <row r="69" spans="1:10" x14ac:dyDescent="0.35">
      <c r="A69">
        <v>1068</v>
      </c>
      <c r="B69" s="1">
        <v>45672</v>
      </c>
      <c r="C69" t="s">
        <v>19</v>
      </c>
      <c r="D69" t="s">
        <v>27</v>
      </c>
      <c r="E69" t="s">
        <v>10</v>
      </c>
      <c r="F69" t="s">
        <v>11</v>
      </c>
      <c r="G69">
        <v>1</v>
      </c>
      <c r="H69">
        <v>3200</v>
      </c>
      <c r="I69">
        <f t="shared" si="6"/>
        <v>3200</v>
      </c>
      <c r="J69" t="str">
        <f t="shared" si="7"/>
        <v>01</v>
      </c>
    </row>
    <row r="70" spans="1:10" x14ac:dyDescent="0.35">
      <c r="A70">
        <v>1069</v>
      </c>
      <c r="B70" s="1">
        <v>45675</v>
      </c>
      <c r="C70" t="s">
        <v>8</v>
      </c>
      <c r="D70" t="s">
        <v>28</v>
      </c>
      <c r="E70" t="s">
        <v>14</v>
      </c>
      <c r="F70" t="s">
        <v>29</v>
      </c>
      <c r="G70">
        <v>1</v>
      </c>
      <c r="H70">
        <v>47000</v>
      </c>
      <c r="I70">
        <f t="shared" si="6"/>
        <v>47000</v>
      </c>
      <c r="J70" t="str">
        <f t="shared" si="7"/>
        <v>01</v>
      </c>
    </row>
    <row r="71" spans="1:10" x14ac:dyDescent="0.35">
      <c r="A71">
        <v>1070</v>
      </c>
      <c r="B71" s="1">
        <v>45677</v>
      </c>
      <c r="C71" t="s">
        <v>12</v>
      </c>
      <c r="D71" t="s">
        <v>17</v>
      </c>
      <c r="E71" t="s">
        <v>21</v>
      </c>
      <c r="F71" t="s">
        <v>30</v>
      </c>
      <c r="G71">
        <v>10</v>
      </c>
      <c r="H71">
        <v>59000</v>
      </c>
      <c r="I71">
        <f t="shared" si="6"/>
        <v>590000</v>
      </c>
      <c r="J71" t="str">
        <f t="shared" si="7"/>
        <v>01</v>
      </c>
    </row>
    <row r="72" spans="1:10" x14ac:dyDescent="0.35">
      <c r="A72">
        <v>1071</v>
      </c>
      <c r="B72" s="1">
        <v>45690</v>
      </c>
      <c r="C72" t="s">
        <v>16</v>
      </c>
      <c r="D72" t="s">
        <v>31</v>
      </c>
      <c r="E72" t="s">
        <v>10</v>
      </c>
      <c r="F72" t="s">
        <v>18</v>
      </c>
      <c r="G72">
        <v>2</v>
      </c>
      <c r="H72">
        <v>850</v>
      </c>
      <c r="I72">
        <f t="shared" si="6"/>
        <v>1700</v>
      </c>
      <c r="J72" t="str">
        <f t="shared" si="7"/>
        <v>02</v>
      </c>
    </row>
    <row r="73" spans="1:10" x14ac:dyDescent="0.35">
      <c r="A73">
        <v>1072</v>
      </c>
      <c r="B73" s="1">
        <v>45692</v>
      </c>
      <c r="C73" t="s">
        <v>19</v>
      </c>
      <c r="D73" t="s">
        <v>13</v>
      </c>
      <c r="E73" t="s">
        <v>14</v>
      </c>
      <c r="F73" t="s">
        <v>15</v>
      </c>
      <c r="G73">
        <v>3</v>
      </c>
      <c r="H73">
        <v>2500</v>
      </c>
      <c r="I73">
        <f t="shared" si="6"/>
        <v>7500</v>
      </c>
      <c r="J73" t="str">
        <f t="shared" si="7"/>
        <v>02</v>
      </c>
    </row>
    <row r="74" spans="1:10" x14ac:dyDescent="0.35">
      <c r="A74">
        <v>1073</v>
      </c>
      <c r="B74" s="1">
        <v>45694</v>
      </c>
      <c r="C74" t="s">
        <v>8</v>
      </c>
      <c r="D74" t="s">
        <v>32</v>
      </c>
      <c r="E74" t="s">
        <v>21</v>
      </c>
      <c r="F74" t="s">
        <v>22</v>
      </c>
      <c r="G74">
        <v>2</v>
      </c>
      <c r="H74">
        <v>12000</v>
      </c>
      <c r="I74">
        <f t="shared" si="6"/>
        <v>24000</v>
      </c>
      <c r="J74" t="str">
        <f t="shared" si="7"/>
        <v>02</v>
      </c>
    </row>
    <row r="75" spans="1:10" x14ac:dyDescent="0.35">
      <c r="A75">
        <v>1074</v>
      </c>
      <c r="B75" s="1">
        <v>45696</v>
      </c>
      <c r="C75" t="s">
        <v>12</v>
      </c>
      <c r="D75" t="s">
        <v>20</v>
      </c>
      <c r="E75" t="s">
        <v>10</v>
      </c>
      <c r="F75" t="s">
        <v>11</v>
      </c>
      <c r="G75">
        <v>1</v>
      </c>
      <c r="H75">
        <v>2000</v>
      </c>
      <c r="I75">
        <f t="shared" si="6"/>
        <v>2000</v>
      </c>
      <c r="J75" t="str">
        <f t="shared" si="7"/>
        <v>02</v>
      </c>
    </row>
    <row r="76" spans="1:10" x14ac:dyDescent="0.35">
      <c r="A76">
        <v>1075</v>
      </c>
      <c r="B76" s="1">
        <v>45698</v>
      </c>
      <c r="C76" t="s">
        <v>16</v>
      </c>
      <c r="D76" t="s">
        <v>33</v>
      </c>
      <c r="E76" t="s">
        <v>14</v>
      </c>
      <c r="F76" t="s">
        <v>23</v>
      </c>
      <c r="G76">
        <v>1</v>
      </c>
      <c r="H76">
        <v>3000</v>
      </c>
      <c r="I76">
        <f t="shared" si="6"/>
        <v>3000</v>
      </c>
      <c r="J76" t="str">
        <f t="shared" si="7"/>
        <v>02</v>
      </c>
    </row>
    <row r="77" spans="1:10" x14ac:dyDescent="0.35">
      <c r="A77">
        <v>1076</v>
      </c>
      <c r="B77" s="1">
        <v>45700</v>
      </c>
      <c r="C77" t="s">
        <v>19</v>
      </c>
      <c r="D77" t="s">
        <v>9</v>
      </c>
      <c r="E77" t="s">
        <v>10</v>
      </c>
      <c r="F77" t="s">
        <v>25</v>
      </c>
      <c r="G77">
        <v>4</v>
      </c>
      <c r="H77">
        <v>60000</v>
      </c>
      <c r="I77">
        <f t="shared" si="6"/>
        <v>240000</v>
      </c>
      <c r="J77" t="str">
        <f t="shared" si="7"/>
        <v>02</v>
      </c>
    </row>
    <row r="78" spans="1:10" x14ac:dyDescent="0.35">
      <c r="A78">
        <v>1077</v>
      </c>
      <c r="B78" s="1">
        <v>45703</v>
      </c>
      <c r="C78" t="s">
        <v>8</v>
      </c>
      <c r="D78" t="s">
        <v>24</v>
      </c>
      <c r="E78" t="s">
        <v>21</v>
      </c>
      <c r="F78" t="s">
        <v>26</v>
      </c>
      <c r="G78">
        <v>2</v>
      </c>
      <c r="H78">
        <v>45000</v>
      </c>
      <c r="I78">
        <f t="shared" si="6"/>
        <v>90000</v>
      </c>
      <c r="J78" t="str">
        <f t="shared" si="7"/>
        <v>02</v>
      </c>
    </row>
    <row r="79" spans="1:10" x14ac:dyDescent="0.35">
      <c r="A79">
        <v>1078</v>
      </c>
      <c r="B79" s="1">
        <v>45706</v>
      </c>
      <c r="C79" t="s">
        <v>12</v>
      </c>
      <c r="D79" t="s">
        <v>27</v>
      </c>
      <c r="E79" t="s">
        <v>14</v>
      </c>
      <c r="F79" t="s">
        <v>29</v>
      </c>
      <c r="G79">
        <v>1</v>
      </c>
      <c r="H79">
        <v>800</v>
      </c>
      <c r="I79">
        <f t="shared" si="6"/>
        <v>800</v>
      </c>
      <c r="J79" t="str">
        <f t="shared" si="7"/>
        <v>02</v>
      </c>
    </row>
    <row r="80" spans="1:10" x14ac:dyDescent="0.35">
      <c r="A80">
        <v>1079</v>
      </c>
      <c r="B80" s="1">
        <v>45708</v>
      </c>
      <c r="C80" t="s">
        <v>16</v>
      </c>
      <c r="D80" t="s">
        <v>28</v>
      </c>
      <c r="E80" t="s">
        <v>10</v>
      </c>
      <c r="F80" t="s">
        <v>11</v>
      </c>
      <c r="G80">
        <v>1</v>
      </c>
      <c r="H80">
        <v>21000</v>
      </c>
      <c r="I80">
        <f t="shared" si="6"/>
        <v>21000</v>
      </c>
      <c r="J80" t="str">
        <f t="shared" si="7"/>
        <v>02</v>
      </c>
    </row>
    <row r="81" spans="1:10" x14ac:dyDescent="0.35">
      <c r="A81">
        <v>1080</v>
      </c>
      <c r="B81" s="1">
        <v>45710</v>
      </c>
      <c r="C81" t="s">
        <v>19</v>
      </c>
      <c r="D81" t="s">
        <v>31</v>
      </c>
      <c r="E81" t="s">
        <v>21</v>
      </c>
      <c r="F81" t="s">
        <v>30</v>
      </c>
      <c r="G81">
        <v>5</v>
      </c>
      <c r="H81">
        <v>3500</v>
      </c>
      <c r="I81">
        <f t="shared" si="6"/>
        <v>17500</v>
      </c>
      <c r="J81" t="str">
        <f t="shared" si="7"/>
        <v>02</v>
      </c>
    </row>
    <row r="82" spans="1:10" x14ac:dyDescent="0.35">
      <c r="A82">
        <v>1081</v>
      </c>
      <c r="B82" s="1">
        <v>45660</v>
      </c>
      <c r="C82" t="s">
        <v>8</v>
      </c>
      <c r="D82" t="s">
        <v>9</v>
      </c>
      <c r="E82" t="s">
        <v>10</v>
      </c>
      <c r="F82" t="s">
        <v>11</v>
      </c>
      <c r="G82">
        <v>2</v>
      </c>
      <c r="H82">
        <v>2600</v>
      </c>
      <c r="I82">
        <f t="shared" si="6"/>
        <v>5200</v>
      </c>
      <c r="J82" t="str">
        <f t="shared" si="7"/>
        <v>01</v>
      </c>
    </row>
    <row r="83" spans="1:10" x14ac:dyDescent="0.35">
      <c r="A83">
        <v>1082</v>
      </c>
      <c r="B83" s="1">
        <v>45662</v>
      </c>
      <c r="C83" t="s">
        <v>12</v>
      </c>
      <c r="D83" t="s">
        <v>13</v>
      </c>
      <c r="E83" t="s">
        <v>14</v>
      </c>
      <c r="F83" t="s">
        <v>15</v>
      </c>
      <c r="G83">
        <v>5</v>
      </c>
      <c r="H83">
        <v>58000</v>
      </c>
      <c r="I83">
        <f t="shared" si="6"/>
        <v>290000</v>
      </c>
      <c r="J83" t="str">
        <f t="shared" si="7"/>
        <v>01</v>
      </c>
    </row>
    <row r="84" spans="1:10" x14ac:dyDescent="0.35">
      <c r="A84">
        <v>1083</v>
      </c>
      <c r="B84" s="1">
        <v>45663</v>
      </c>
      <c r="C84" t="s">
        <v>16</v>
      </c>
      <c r="D84" t="s">
        <v>17</v>
      </c>
      <c r="E84" t="s">
        <v>10</v>
      </c>
      <c r="F84" t="s">
        <v>18</v>
      </c>
      <c r="G84">
        <v>3</v>
      </c>
      <c r="H84">
        <v>11000</v>
      </c>
      <c r="I84">
        <f t="shared" si="6"/>
        <v>33000</v>
      </c>
      <c r="J84" t="str">
        <f t="shared" si="7"/>
        <v>01</v>
      </c>
    </row>
    <row r="85" spans="1:10" x14ac:dyDescent="0.35">
      <c r="A85">
        <v>1084</v>
      </c>
      <c r="B85" s="1">
        <v>45664</v>
      </c>
      <c r="C85" t="s">
        <v>19</v>
      </c>
      <c r="D85" t="s">
        <v>20</v>
      </c>
      <c r="E85" t="s">
        <v>21</v>
      </c>
      <c r="F85" t="s">
        <v>22</v>
      </c>
      <c r="G85">
        <v>4</v>
      </c>
      <c r="H85">
        <v>2200</v>
      </c>
      <c r="I85">
        <f t="shared" si="6"/>
        <v>8800</v>
      </c>
      <c r="J85" t="str">
        <f t="shared" si="7"/>
        <v>01</v>
      </c>
    </row>
    <row r="86" spans="1:10" x14ac:dyDescent="0.35">
      <c r="A86">
        <v>1085</v>
      </c>
      <c r="B86" s="1">
        <v>45667</v>
      </c>
      <c r="C86" t="s">
        <v>8</v>
      </c>
      <c r="D86" t="s">
        <v>13</v>
      </c>
      <c r="E86" t="s">
        <v>14</v>
      </c>
      <c r="F86" t="s">
        <v>23</v>
      </c>
      <c r="G86">
        <v>2</v>
      </c>
      <c r="H86">
        <v>55000</v>
      </c>
      <c r="I86">
        <f t="shared" si="6"/>
        <v>110000</v>
      </c>
      <c r="J86" t="str">
        <f t="shared" si="7"/>
        <v>01</v>
      </c>
    </row>
    <row r="87" spans="1:10" x14ac:dyDescent="0.35">
      <c r="A87">
        <v>1086</v>
      </c>
      <c r="B87" s="1">
        <v>45668</v>
      </c>
      <c r="C87" t="s">
        <v>12</v>
      </c>
      <c r="D87" t="s">
        <v>24</v>
      </c>
      <c r="E87" t="s">
        <v>10</v>
      </c>
      <c r="F87" t="s">
        <v>25</v>
      </c>
      <c r="G87">
        <v>6</v>
      </c>
      <c r="H87">
        <v>3500</v>
      </c>
      <c r="I87">
        <f t="shared" si="6"/>
        <v>21000</v>
      </c>
      <c r="J87" t="str">
        <f t="shared" si="7"/>
        <v>01</v>
      </c>
    </row>
    <row r="88" spans="1:10" x14ac:dyDescent="0.35">
      <c r="A88">
        <v>1087</v>
      </c>
      <c r="B88" s="1">
        <v>45670</v>
      </c>
      <c r="C88" t="s">
        <v>16</v>
      </c>
      <c r="D88" t="s">
        <v>9</v>
      </c>
      <c r="E88" t="s">
        <v>21</v>
      </c>
      <c r="F88" t="s">
        <v>26</v>
      </c>
      <c r="G88">
        <v>3</v>
      </c>
      <c r="H88">
        <v>22000</v>
      </c>
      <c r="I88">
        <f t="shared" si="6"/>
        <v>66000</v>
      </c>
      <c r="J88" t="str">
        <f t="shared" si="7"/>
        <v>01</v>
      </c>
    </row>
    <row r="89" spans="1:10" x14ac:dyDescent="0.35">
      <c r="A89">
        <v>1088</v>
      </c>
      <c r="B89" s="1">
        <v>45672</v>
      </c>
      <c r="C89" t="s">
        <v>19</v>
      </c>
      <c r="D89" t="s">
        <v>27</v>
      </c>
      <c r="E89" t="s">
        <v>10</v>
      </c>
      <c r="F89" t="s">
        <v>11</v>
      </c>
      <c r="G89">
        <v>1</v>
      </c>
      <c r="H89">
        <v>2500</v>
      </c>
      <c r="I89">
        <f t="shared" si="6"/>
        <v>2500</v>
      </c>
      <c r="J89" t="str">
        <f t="shared" si="7"/>
        <v>01</v>
      </c>
    </row>
    <row r="90" spans="1:10" x14ac:dyDescent="0.35">
      <c r="A90">
        <v>1089</v>
      </c>
      <c r="B90" s="1">
        <v>45675</v>
      </c>
      <c r="C90" t="s">
        <v>8</v>
      </c>
      <c r="D90" t="s">
        <v>28</v>
      </c>
      <c r="E90" t="s">
        <v>14</v>
      </c>
      <c r="F90" t="s">
        <v>29</v>
      </c>
      <c r="G90">
        <v>1</v>
      </c>
      <c r="H90">
        <v>12000</v>
      </c>
      <c r="I90">
        <f t="shared" si="6"/>
        <v>12000</v>
      </c>
      <c r="J90" t="str">
        <f t="shared" si="7"/>
        <v>01</v>
      </c>
    </row>
    <row r="91" spans="1:10" x14ac:dyDescent="0.35">
      <c r="A91">
        <v>1090</v>
      </c>
      <c r="B91" s="1">
        <v>45677</v>
      </c>
      <c r="C91" t="s">
        <v>12</v>
      </c>
      <c r="D91" t="s">
        <v>17</v>
      </c>
      <c r="E91" t="s">
        <v>21</v>
      </c>
      <c r="F91" t="s">
        <v>30</v>
      </c>
      <c r="G91">
        <v>10</v>
      </c>
      <c r="H91">
        <v>2000</v>
      </c>
      <c r="I91">
        <f t="shared" si="6"/>
        <v>20000</v>
      </c>
      <c r="J91" t="str">
        <f t="shared" si="7"/>
        <v>01</v>
      </c>
    </row>
    <row r="92" spans="1:10" x14ac:dyDescent="0.35">
      <c r="A92">
        <v>1091</v>
      </c>
      <c r="B92" s="1">
        <v>45690</v>
      </c>
      <c r="C92" t="s">
        <v>16</v>
      </c>
      <c r="D92" t="s">
        <v>31</v>
      </c>
      <c r="E92" t="s">
        <v>10</v>
      </c>
      <c r="F92" t="s">
        <v>18</v>
      </c>
      <c r="G92">
        <v>2</v>
      </c>
      <c r="H92">
        <v>3000</v>
      </c>
      <c r="I92">
        <f t="shared" si="6"/>
        <v>6000</v>
      </c>
      <c r="J92" t="str">
        <f t="shared" si="7"/>
        <v>02</v>
      </c>
    </row>
    <row r="93" spans="1:10" x14ac:dyDescent="0.35">
      <c r="A93">
        <v>1092</v>
      </c>
      <c r="B93" s="1">
        <v>45692</v>
      </c>
      <c r="C93" t="s">
        <v>19</v>
      </c>
      <c r="D93" t="s">
        <v>13</v>
      </c>
      <c r="E93" t="s">
        <v>14</v>
      </c>
      <c r="F93" t="s">
        <v>15</v>
      </c>
      <c r="G93">
        <v>3</v>
      </c>
      <c r="H93">
        <v>60000</v>
      </c>
      <c r="I93">
        <f t="shared" si="6"/>
        <v>180000</v>
      </c>
      <c r="J93" t="str">
        <f t="shared" si="7"/>
        <v>02</v>
      </c>
    </row>
    <row r="94" spans="1:10" x14ac:dyDescent="0.35">
      <c r="A94">
        <v>1093</v>
      </c>
      <c r="B94" s="1">
        <v>45694</v>
      </c>
      <c r="C94" t="s">
        <v>8</v>
      </c>
      <c r="D94" t="s">
        <v>32</v>
      </c>
      <c r="E94" t="s">
        <v>21</v>
      </c>
      <c r="F94" t="s">
        <v>22</v>
      </c>
      <c r="G94">
        <v>2</v>
      </c>
      <c r="H94">
        <v>45000</v>
      </c>
      <c r="I94">
        <f t="shared" si="6"/>
        <v>90000</v>
      </c>
      <c r="J94" t="str">
        <f t="shared" si="7"/>
        <v>02</v>
      </c>
    </row>
    <row r="95" spans="1:10" x14ac:dyDescent="0.35">
      <c r="A95">
        <v>1094</v>
      </c>
      <c r="B95" s="1">
        <v>45696</v>
      </c>
      <c r="C95" t="s">
        <v>12</v>
      </c>
      <c r="D95" t="s">
        <v>20</v>
      </c>
      <c r="E95" t="s">
        <v>10</v>
      </c>
      <c r="F95" t="s">
        <v>11</v>
      </c>
      <c r="G95">
        <v>1</v>
      </c>
      <c r="H95">
        <v>800</v>
      </c>
      <c r="I95">
        <f t="shared" si="6"/>
        <v>800</v>
      </c>
      <c r="J95" t="str">
        <f t="shared" si="7"/>
        <v>02</v>
      </c>
    </row>
    <row r="96" spans="1:10" x14ac:dyDescent="0.35">
      <c r="A96">
        <v>1095</v>
      </c>
      <c r="B96" s="1">
        <v>45698</v>
      </c>
      <c r="C96" t="s">
        <v>16</v>
      </c>
      <c r="D96" t="s">
        <v>33</v>
      </c>
      <c r="E96" t="s">
        <v>14</v>
      </c>
      <c r="F96" t="s">
        <v>23</v>
      </c>
      <c r="G96">
        <v>1</v>
      </c>
      <c r="H96">
        <v>21000</v>
      </c>
      <c r="I96">
        <f t="shared" si="6"/>
        <v>21000</v>
      </c>
      <c r="J96" t="str">
        <f t="shared" si="7"/>
        <v>02</v>
      </c>
    </row>
    <row r="97" spans="1:10" x14ac:dyDescent="0.35">
      <c r="A97">
        <v>1096</v>
      </c>
      <c r="B97" s="1">
        <v>45700</v>
      </c>
      <c r="C97" t="s">
        <v>19</v>
      </c>
      <c r="D97" t="s">
        <v>9</v>
      </c>
      <c r="E97" t="s">
        <v>10</v>
      </c>
      <c r="F97" t="s">
        <v>25</v>
      </c>
      <c r="G97">
        <v>4</v>
      </c>
      <c r="H97">
        <v>3500</v>
      </c>
      <c r="I97">
        <f t="shared" si="6"/>
        <v>14000</v>
      </c>
      <c r="J97" t="str">
        <f t="shared" si="7"/>
        <v>02</v>
      </c>
    </row>
    <row r="98" spans="1:10" x14ac:dyDescent="0.35">
      <c r="A98">
        <v>1097</v>
      </c>
      <c r="B98" s="1">
        <v>45703</v>
      </c>
      <c r="C98" t="s">
        <v>8</v>
      </c>
      <c r="D98" t="s">
        <v>24</v>
      </c>
      <c r="E98" t="s">
        <v>21</v>
      </c>
      <c r="F98" t="s">
        <v>26</v>
      </c>
      <c r="G98">
        <v>2</v>
      </c>
      <c r="H98">
        <v>2600</v>
      </c>
      <c r="I98">
        <f t="shared" si="6"/>
        <v>5200</v>
      </c>
      <c r="J98" t="str">
        <f t="shared" si="7"/>
        <v>02</v>
      </c>
    </row>
    <row r="99" spans="1:10" x14ac:dyDescent="0.35">
      <c r="A99">
        <v>1098</v>
      </c>
      <c r="B99" s="1">
        <v>45706</v>
      </c>
      <c r="C99" t="s">
        <v>12</v>
      </c>
      <c r="D99" t="s">
        <v>27</v>
      </c>
      <c r="E99" t="s">
        <v>14</v>
      </c>
      <c r="F99" t="s">
        <v>29</v>
      </c>
      <c r="G99">
        <v>1</v>
      </c>
      <c r="H99">
        <v>58000</v>
      </c>
      <c r="I99">
        <f t="shared" si="6"/>
        <v>58000</v>
      </c>
      <c r="J99" t="str">
        <f t="shared" si="7"/>
        <v>02</v>
      </c>
    </row>
    <row r="100" spans="1:10" x14ac:dyDescent="0.35">
      <c r="A100">
        <v>1099</v>
      </c>
      <c r="B100" s="1">
        <v>45708</v>
      </c>
      <c r="C100" t="s">
        <v>16</v>
      </c>
      <c r="D100" t="s">
        <v>28</v>
      </c>
      <c r="E100" t="s">
        <v>10</v>
      </c>
      <c r="F100" t="s">
        <v>11</v>
      </c>
      <c r="G100">
        <v>1</v>
      </c>
      <c r="H100">
        <v>11000</v>
      </c>
      <c r="I100">
        <f t="shared" si="6"/>
        <v>11000</v>
      </c>
      <c r="J100" t="str">
        <f t="shared" si="7"/>
        <v>02</v>
      </c>
    </row>
    <row r="101" spans="1:10" x14ac:dyDescent="0.35">
      <c r="A101">
        <v>1100</v>
      </c>
      <c r="B101" s="1">
        <v>45710</v>
      </c>
      <c r="C101" t="s">
        <v>19</v>
      </c>
      <c r="D101" t="s">
        <v>31</v>
      </c>
      <c r="E101" t="s">
        <v>21</v>
      </c>
      <c r="F101" t="s">
        <v>30</v>
      </c>
      <c r="G101">
        <v>5</v>
      </c>
      <c r="H101">
        <v>2200</v>
      </c>
      <c r="I101">
        <f t="shared" si="6"/>
        <v>11000</v>
      </c>
      <c r="J101" t="str">
        <f t="shared" si="7"/>
        <v>02</v>
      </c>
    </row>
    <row r="102" spans="1:10" x14ac:dyDescent="0.35">
      <c r="A102">
        <v>1101</v>
      </c>
      <c r="B102" s="1">
        <v>45660</v>
      </c>
      <c r="C102" t="s">
        <v>8</v>
      </c>
      <c r="D102" t="s">
        <v>9</v>
      </c>
      <c r="E102" t="s">
        <v>10</v>
      </c>
      <c r="F102" t="s">
        <v>11</v>
      </c>
      <c r="G102">
        <v>2</v>
      </c>
      <c r="H102">
        <v>3200</v>
      </c>
      <c r="I102">
        <f t="shared" si="6"/>
        <v>6400</v>
      </c>
      <c r="J102" t="str">
        <f t="shared" si="7"/>
        <v>01</v>
      </c>
    </row>
    <row r="103" spans="1:10" x14ac:dyDescent="0.35">
      <c r="A103">
        <v>1102</v>
      </c>
      <c r="B103" s="1">
        <v>45662</v>
      </c>
      <c r="C103" t="s">
        <v>12</v>
      </c>
      <c r="D103" t="s">
        <v>13</v>
      </c>
      <c r="E103" t="s">
        <v>14</v>
      </c>
      <c r="F103" t="s">
        <v>15</v>
      </c>
      <c r="G103">
        <v>5</v>
      </c>
      <c r="H103">
        <v>47000</v>
      </c>
      <c r="I103">
        <f t="shared" si="6"/>
        <v>235000</v>
      </c>
      <c r="J103" t="str">
        <f t="shared" si="7"/>
        <v>01</v>
      </c>
    </row>
    <row r="104" spans="1:10" x14ac:dyDescent="0.35">
      <c r="A104">
        <v>1103</v>
      </c>
      <c r="B104" s="1">
        <v>45663</v>
      </c>
      <c r="C104" t="s">
        <v>16</v>
      </c>
      <c r="D104" t="s">
        <v>17</v>
      </c>
      <c r="E104" t="s">
        <v>10</v>
      </c>
      <c r="F104" t="s">
        <v>18</v>
      </c>
      <c r="G104">
        <v>3</v>
      </c>
      <c r="H104">
        <v>59000</v>
      </c>
      <c r="I104">
        <f t="shared" si="6"/>
        <v>177000</v>
      </c>
      <c r="J104" t="str">
        <f t="shared" si="7"/>
        <v>01</v>
      </c>
    </row>
    <row r="105" spans="1:10" x14ac:dyDescent="0.35">
      <c r="A105">
        <v>1104</v>
      </c>
      <c r="B105" s="1">
        <v>45664</v>
      </c>
      <c r="C105" t="s">
        <v>19</v>
      </c>
      <c r="D105" t="s">
        <v>20</v>
      </c>
      <c r="E105" t="s">
        <v>21</v>
      </c>
      <c r="F105" t="s">
        <v>22</v>
      </c>
      <c r="G105">
        <v>4</v>
      </c>
      <c r="H105">
        <v>850</v>
      </c>
      <c r="I105">
        <f t="shared" si="6"/>
        <v>3400</v>
      </c>
      <c r="J105" t="str">
        <f t="shared" si="7"/>
        <v>01</v>
      </c>
    </row>
    <row r="106" spans="1:10" x14ac:dyDescent="0.35">
      <c r="A106">
        <v>1105</v>
      </c>
      <c r="B106" s="1">
        <v>45667</v>
      </c>
      <c r="C106" t="s">
        <v>8</v>
      </c>
      <c r="D106" t="s">
        <v>13</v>
      </c>
      <c r="E106" t="s">
        <v>14</v>
      </c>
      <c r="F106" t="s">
        <v>23</v>
      </c>
      <c r="G106">
        <v>2</v>
      </c>
      <c r="H106">
        <v>3500</v>
      </c>
      <c r="I106">
        <f t="shared" si="6"/>
        <v>7000</v>
      </c>
      <c r="J106" t="str">
        <f t="shared" si="7"/>
        <v>01</v>
      </c>
    </row>
    <row r="107" spans="1:10" x14ac:dyDescent="0.35">
      <c r="A107">
        <v>1106</v>
      </c>
      <c r="B107" s="1">
        <v>45668</v>
      </c>
      <c r="C107" t="s">
        <v>12</v>
      </c>
      <c r="D107" t="s">
        <v>24</v>
      </c>
      <c r="E107" t="s">
        <v>10</v>
      </c>
      <c r="F107" t="s">
        <v>25</v>
      </c>
      <c r="G107">
        <v>6</v>
      </c>
      <c r="H107">
        <v>2600</v>
      </c>
      <c r="I107">
        <f t="shared" si="6"/>
        <v>15600</v>
      </c>
      <c r="J107" t="str">
        <f t="shared" si="7"/>
        <v>01</v>
      </c>
    </row>
    <row r="108" spans="1:10" x14ac:dyDescent="0.35">
      <c r="A108">
        <v>1107</v>
      </c>
      <c r="B108" s="1">
        <v>45670</v>
      </c>
      <c r="C108" t="s">
        <v>16</v>
      </c>
      <c r="D108" t="s">
        <v>9</v>
      </c>
      <c r="E108" t="s">
        <v>21</v>
      </c>
      <c r="F108" t="s">
        <v>26</v>
      </c>
      <c r="G108">
        <v>3</v>
      </c>
      <c r="H108">
        <v>58000</v>
      </c>
      <c r="I108">
        <f t="shared" si="6"/>
        <v>174000</v>
      </c>
      <c r="J108" t="str">
        <f t="shared" si="7"/>
        <v>01</v>
      </c>
    </row>
    <row r="109" spans="1:10" x14ac:dyDescent="0.35">
      <c r="A109">
        <v>1108</v>
      </c>
      <c r="B109" s="1">
        <v>45672</v>
      </c>
      <c r="C109" t="s">
        <v>19</v>
      </c>
      <c r="D109" t="s">
        <v>27</v>
      </c>
      <c r="E109" t="s">
        <v>10</v>
      </c>
      <c r="F109" t="s">
        <v>11</v>
      </c>
      <c r="G109">
        <v>1</v>
      </c>
      <c r="H109">
        <v>11000</v>
      </c>
      <c r="I109">
        <f t="shared" si="6"/>
        <v>11000</v>
      </c>
      <c r="J109" t="str">
        <f t="shared" si="7"/>
        <v>01</v>
      </c>
    </row>
    <row r="110" spans="1:10" x14ac:dyDescent="0.35">
      <c r="A110">
        <v>1109</v>
      </c>
      <c r="B110" s="1">
        <v>45675</v>
      </c>
      <c r="C110" t="s">
        <v>8</v>
      </c>
      <c r="D110" t="s">
        <v>28</v>
      </c>
      <c r="E110" t="s">
        <v>14</v>
      </c>
      <c r="F110" t="s">
        <v>29</v>
      </c>
      <c r="G110">
        <v>1</v>
      </c>
      <c r="H110">
        <v>2200</v>
      </c>
      <c r="I110">
        <f t="shared" si="6"/>
        <v>2200</v>
      </c>
      <c r="J110" t="str">
        <f t="shared" si="7"/>
        <v>01</v>
      </c>
    </row>
    <row r="111" spans="1:10" x14ac:dyDescent="0.35">
      <c r="A111">
        <v>1110</v>
      </c>
      <c r="B111" s="1">
        <v>45677</v>
      </c>
      <c r="C111" t="s">
        <v>12</v>
      </c>
      <c r="D111" t="s">
        <v>17</v>
      </c>
      <c r="E111" t="s">
        <v>21</v>
      </c>
      <c r="F111" t="s">
        <v>30</v>
      </c>
      <c r="G111">
        <v>10</v>
      </c>
      <c r="H111">
        <v>3200</v>
      </c>
      <c r="I111">
        <f t="shared" si="6"/>
        <v>32000</v>
      </c>
      <c r="J111" t="str">
        <f t="shared" si="7"/>
        <v>01</v>
      </c>
    </row>
    <row r="112" spans="1:10" x14ac:dyDescent="0.35">
      <c r="A112">
        <v>1111</v>
      </c>
      <c r="B112" s="1">
        <v>45690</v>
      </c>
      <c r="C112" t="s">
        <v>16</v>
      </c>
      <c r="D112" t="s">
        <v>31</v>
      </c>
      <c r="E112" t="s">
        <v>10</v>
      </c>
      <c r="F112" t="s">
        <v>18</v>
      </c>
      <c r="G112">
        <v>2</v>
      </c>
      <c r="H112">
        <v>47000</v>
      </c>
      <c r="I112">
        <f t="shared" si="6"/>
        <v>94000</v>
      </c>
      <c r="J112" t="str">
        <f t="shared" si="7"/>
        <v>02</v>
      </c>
    </row>
    <row r="113" spans="1:10" x14ac:dyDescent="0.35">
      <c r="A113">
        <v>1112</v>
      </c>
      <c r="B113" s="1">
        <v>45692</v>
      </c>
      <c r="C113" t="s">
        <v>19</v>
      </c>
      <c r="D113" t="s">
        <v>13</v>
      </c>
      <c r="E113" t="s">
        <v>14</v>
      </c>
      <c r="F113" t="s">
        <v>15</v>
      </c>
      <c r="G113">
        <v>3</v>
      </c>
      <c r="H113">
        <v>59000</v>
      </c>
      <c r="I113">
        <f t="shared" si="6"/>
        <v>177000</v>
      </c>
      <c r="J113" t="str">
        <f t="shared" si="7"/>
        <v>02</v>
      </c>
    </row>
    <row r="114" spans="1:10" x14ac:dyDescent="0.35">
      <c r="A114">
        <v>1113</v>
      </c>
      <c r="B114" s="1">
        <v>45694</v>
      </c>
      <c r="C114" t="s">
        <v>8</v>
      </c>
      <c r="D114" t="s">
        <v>32</v>
      </c>
      <c r="E114" t="s">
        <v>21</v>
      </c>
      <c r="F114" t="s">
        <v>22</v>
      </c>
      <c r="G114">
        <v>2</v>
      </c>
      <c r="H114">
        <v>850</v>
      </c>
      <c r="I114">
        <f t="shared" si="6"/>
        <v>1700</v>
      </c>
      <c r="J114" t="str">
        <f t="shared" si="7"/>
        <v>02</v>
      </c>
    </row>
    <row r="115" spans="1:10" x14ac:dyDescent="0.35">
      <c r="A115">
        <v>1114</v>
      </c>
      <c r="B115" s="1">
        <v>45696</v>
      </c>
      <c r="C115" t="s">
        <v>12</v>
      </c>
      <c r="D115" t="s">
        <v>20</v>
      </c>
      <c r="E115" t="s">
        <v>10</v>
      </c>
      <c r="F115" t="s">
        <v>11</v>
      </c>
      <c r="G115">
        <v>1</v>
      </c>
      <c r="H115">
        <v>2500</v>
      </c>
      <c r="I115">
        <f t="shared" si="6"/>
        <v>2500</v>
      </c>
      <c r="J115" t="str">
        <f t="shared" si="7"/>
        <v>02</v>
      </c>
    </row>
    <row r="116" spans="1:10" x14ac:dyDescent="0.35">
      <c r="A116">
        <v>1115</v>
      </c>
      <c r="B116" s="1">
        <v>45698</v>
      </c>
      <c r="C116" t="s">
        <v>16</v>
      </c>
      <c r="D116" t="s">
        <v>33</v>
      </c>
      <c r="E116" t="s">
        <v>14</v>
      </c>
      <c r="F116" t="s">
        <v>23</v>
      </c>
      <c r="G116">
        <v>1</v>
      </c>
      <c r="H116">
        <v>12000</v>
      </c>
      <c r="I116">
        <f t="shared" si="6"/>
        <v>12000</v>
      </c>
      <c r="J116" t="str">
        <f t="shared" si="7"/>
        <v>02</v>
      </c>
    </row>
    <row r="117" spans="1:10" x14ac:dyDescent="0.35">
      <c r="A117">
        <v>1116</v>
      </c>
      <c r="B117" s="1">
        <v>45700</v>
      </c>
      <c r="C117" t="s">
        <v>19</v>
      </c>
      <c r="D117" t="s">
        <v>9</v>
      </c>
      <c r="E117" t="s">
        <v>10</v>
      </c>
      <c r="F117" t="s">
        <v>25</v>
      </c>
      <c r="G117">
        <v>4</v>
      </c>
      <c r="H117">
        <v>2000</v>
      </c>
      <c r="I117">
        <f t="shared" si="6"/>
        <v>8000</v>
      </c>
      <c r="J117" t="str">
        <f t="shared" si="7"/>
        <v>02</v>
      </c>
    </row>
    <row r="118" spans="1:10" x14ac:dyDescent="0.35">
      <c r="A118">
        <v>1117</v>
      </c>
      <c r="B118" s="1">
        <v>45703</v>
      </c>
      <c r="C118" t="s">
        <v>8</v>
      </c>
      <c r="D118" t="s">
        <v>24</v>
      </c>
      <c r="E118" t="s">
        <v>21</v>
      </c>
      <c r="F118" t="s">
        <v>26</v>
      </c>
      <c r="G118">
        <v>2</v>
      </c>
      <c r="H118">
        <v>3000</v>
      </c>
      <c r="I118">
        <f t="shared" si="6"/>
        <v>6000</v>
      </c>
      <c r="J118" t="str">
        <f t="shared" si="7"/>
        <v>02</v>
      </c>
    </row>
    <row r="119" spans="1:10" x14ac:dyDescent="0.35">
      <c r="A119">
        <v>1118</v>
      </c>
      <c r="B119" s="1">
        <v>45706</v>
      </c>
      <c r="C119" t="s">
        <v>12</v>
      </c>
      <c r="D119" t="s">
        <v>27</v>
      </c>
      <c r="E119" t="s">
        <v>14</v>
      </c>
      <c r="F119" t="s">
        <v>29</v>
      </c>
      <c r="G119">
        <v>1</v>
      </c>
      <c r="H119">
        <v>60000</v>
      </c>
      <c r="I119">
        <f t="shared" si="6"/>
        <v>60000</v>
      </c>
      <c r="J119" t="str">
        <f t="shared" si="7"/>
        <v>02</v>
      </c>
    </row>
    <row r="120" spans="1:10" x14ac:dyDescent="0.35">
      <c r="A120">
        <v>1119</v>
      </c>
      <c r="B120" s="1">
        <v>45708</v>
      </c>
      <c r="C120" t="s">
        <v>16</v>
      </c>
      <c r="D120" t="s">
        <v>28</v>
      </c>
      <c r="E120" t="s">
        <v>10</v>
      </c>
      <c r="F120" t="s">
        <v>11</v>
      </c>
      <c r="G120">
        <v>1</v>
      </c>
      <c r="H120">
        <v>45000</v>
      </c>
      <c r="I120">
        <f t="shared" si="6"/>
        <v>45000</v>
      </c>
      <c r="J120" t="str">
        <f t="shared" si="7"/>
        <v>02</v>
      </c>
    </row>
    <row r="121" spans="1:10" x14ac:dyDescent="0.35">
      <c r="A121">
        <v>1120</v>
      </c>
      <c r="B121" s="1">
        <v>45710</v>
      </c>
      <c r="C121" t="s">
        <v>19</v>
      </c>
      <c r="D121" t="s">
        <v>31</v>
      </c>
      <c r="E121" t="s">
        <v>21</v>
      </c>
      <c r="F121" t="s">
        <v>30</v>
      </c>
      <c r="G121">
        <v>5</v>
      </c>
      <c r="H121">
        <v>800</v>
      </c>
      <c r="I121">
        <f t="shared" si="6"/>
        <v>4000</v>
      </c>
      <c r="J121" t="str">
        <f t="shared" si="7"/>
        <v>02</v>
      </c>
    </row>
    <row r="122" spans="1:10" x14ac:dyDescent="0.35">
      <c r="A122">
        <v>1121</v>
      </c>
      <c r="B122" s="1">
        <v>45660</v>
      </c>
      <c r="C122" t="s">
        <v>8</v>
      </c>
      <c r="D122" t="s">
        <v>9</v>
      </c>
      <c r="E122" t="s">
        <v>10</v>
      </c>
      <c r="F122" t="s">
        <v>11</v>
      </c>
      <c r="G122">
        <v>2</v>
      </c>
      <c r="H122">
        <v>21000</v>
      </c>
      <c r="I122">
        <f t="shared" si="6"/>
        <v>42000</v>
      </c>
      <c r="J122" t="str">
        <f t="shared" si="7"/>
        <v>01</v>
      </c>
    </row>
    <row r="123" spans="1:10" x14ac:dyDescent="0.35">
      <c r="A123">
        <v>1122</v>
      </c>
      <c r="B123" s="1">
        <v>45662</v>
      </c>
      <c r="C123" t="s">
        <v>12</v>
      </c>
      <c r="D123" t="s">
        <v>13</v>
      </c>
      <c r="E123" t="s">
        <v>14</v>
      </c>
      <c r="F123" t="s">
        <v>15</v>
      </c>
      <c r="G123">
        <v>5</v>
      </c>
      <c r="H123">
        <v>3500</v>
      </c>
      <c r="I123">
        <f t="shared" si="6"/>
        <v>17500</v>
      </c>
      <c r="J123" t="str">
        <f t="shared" si="7"/>
        <v>01</v>
      </c>
    </row>
    <row r="124" spans="1:10" x14ac:dyDescent="0.35">
      <c r="A124">
        <v>1123</v>
      </c>
      <c r="B124" s="1">
        <v>45663</v>
      </c>
      <c r="C124" t="s">
        <v>16</v>
      </c>
      <c r="D124" t="s">
        <v>17</v>
      </c>
      <c r="E124" t="s">
        <v>10</v>
      </c>
      <c r="F124" t="s">
        <v>18</v>
      </c>
      <c r="G124">
        <v>3</v>
      </c>
      <c r="H124">
        <v>2600</v>
      </c>
      <c r="I124">
        <f t="shared" si="6"/>
        <v>7800</v>
      </c>
      <c r="J124" t="str">
        <f t="shared" si="7"/>
        <v>01</v>
      </c>
    </row>
    <row r="125" spans="1:10" x14ac:dyDescent="0.35">
      <c r="A125">
        <v>1124</v>
      </c>
      <c r="B125" s="1">
        <v>45664</v>
      </c>
      <c r="C125" t="s">
        <v>19</v>
      </c>
      <c r="D125" t="s">
        <v>20</v>
      </c>
      <c r="E125" t="s">
        <v>21</v>
      </c>
      <c r="F125" t="s">
        <v>22</v>
      </c>
      <c r="G125">
        <v>4</v>
      </c>
      <c r="H125">
        <v>58000</v>
      </c>
      <c r="I125">
        <f t="shared" si="6"/>
        <v>232000</v>
      </c>
      <c r="J125" t="str">
        <f t="shared" si="7"/>
        <v>01</v>
      </c>
    </row>
    <row r="126" spans="1:10" x14ac:dyDescent="0.35">
      <c r="A126">
        <v>1125</v>
      </c>
      <c r="B126" s="1">
        <v>45667</v>
      </c>
      <c r="C126" t="s">
        <v>8</v>
      </c>
      <c r="D126" t="s">
        <v>13</v>
      </c>
      <c r="E126" t="s">
        <v>14</v>
      </c>
      <c r="F126" t="s">
        <v>23</v>
      </c>
      <c r="G126">
        <v>2</v>
      </c>
      <c r="H126">
        <v>11000</v>
      </c>
      <c r="I126">
        <f t="shared" si="6"/>
        <v>22000</v>
      </c>
      <c r="J126" t="str">
        <f t="shared" si="7"/>
        <v>01</v>
      </c>
    </row>
    <row r="127" spans="1:10" x14ac:dyDescent="0.35">
      <c r="A127">
        <v>1126</v>
      </c>
      <c r="B127" s="1">
        <v>45668</v>
      </c>
      <c r="C127" t="s">
        <v>12</v>
      </c>
      <c r="D127" t="s">
        <v>24</v>
      </c>
      <c r="E127" t="s">
        <v>10</v>
      </c>
      <c r="F127" t="s">
        <v>25</v>
      </c>
      <c r="G127">
        <v>6</v>
      </c>
      <c r="H127">
        <v>2200</v>
      </c>
      <c r="I127">
        <f t="shared" si="6"/>
        <v>13200</v>
      </c>
      <c r="J127" t="str">
        <f t="shared" si="7"/>
        <v>01</v>
      </c>
    </row>
    <row r="128" spans="1:10" x14ac:dyDescent="0.35">
      <c r="A128">
        <v>1127</v>
      </c>
      <c r="B128" s="1">
        <v>45670</v>
      </c>
      <c r="C128" t="s">
        <v>16</v>
      </c>
      <c r="D128" t="s">
        <v>9</v>
      </c>
      <c r="E128" t="s">
        <v>21</v>
      </c>
      <c r="F128" t="s">
        <v>26</v>
      </c>
      <c r="G128">
        <v>3</v>
      </c>
      <c r="H128">
        <v>55000</v>
      </c>
      <c r="I128">
        <f t="shared" si="6"/>
        <v>165000</v>
      </c>
      <c r="J128" t="str">
        <f t="shared" si="7"/>
        <v>01</v>
      </c>
    </row>
    <row r="129" spans="1:10" x14ac:dyDescent="0.35">
      <c r="A129">
        <v>1128</v>
      </c>
      <c r="B129" s="1">
        <v>45672</v>
      </c>
      <c r="C129" t="s">
        <v>19</v>
      </c>
      <c r="D129" t="s">
        <v>27</v>
      </c>
      <c r="E129" t="s">
        <v>10</v>
      </c>
      <c r="F129" t="s">
        <v>11</v>
      </c>
      <c r="G129">
        <v>1</v>
      </c>
      <c r="H129">
        <v>3500</v>
      </c>
      <c r="I129">
        <f t="shared" si="6"/>
        <v>3500</v>
      </c>
      <c r="J129" t="str">
        <f t="shared" si="7"/>
        <v>01</v>
      </c>
    </row>
    <row r="130" spans="1:10" x14ac:dyDescent="0.35">
      <c r="A130">
        <v>1129</v>
      </c>
      <c r="B130" s="1">
        <v>45675</v>
      </c>
      <c r="C130" t="s">
        <v>8</v>
      </c>
      <c r="D130" t="s">
        <v>28</v>
      </c>
      <c r="E130" t="s">
        <v>14</v>
      </c>
      <c r="F130" t="s">
        <v>29</v>
      </c>
      <c r="G130">
        <v>1</v>
      </c>
      <c r="H130">
        <v>22000</v>
      </c>
      <c r="I130">
        <f t="shared" si="6"/>
        <v>22000</v>
      </c>
      <c r="J130" t="str">
        <f t="shared" si="7"/>
        <v>01</v>
      </c>
    </row>
    <row r="131" spans="1:10" x14ac:dyDescent="0.35">
      <c r="A131">
        <v>1130</v>
      </c>
      <c r="B131" s="1">
        <v>45677</v>
      </c>
      <c r="C131" t="s">
        <v>12</v>
      </c>
      <c r="D131" t="s">
        <v>17</v>
      </c>
      <c r="E131" t="s">
        <v>21</v>
      </c>
      <c r="F131" t="s">
        <v>30</v>
      </c>
      <c r="G131">
        <v>10</v>
      </c>
      <c r="H131">
        <v>2500</v>
      </c>
      <c r="I131">
        <f t="shared" ref="I131:I194" si="8">H131*G131</f>
        <v>25000</v>
      </c>
      <c r="J131" t="str">
        <f t="shared" ref="J131:J194" si="9">TEXT(B131,"MM")</f>
        <v>01</v>
      </c>
    </row>
    <row r="132" spans="1:10" x14ac:dyDescent="0.35">
      <c r="A132">
        <v>1131</v>
      </c>
      <c r="B132" s="1">
        <v>45690</v>
      </c>
      <c r="C132" t="s">
        <v>16</v>
      </c>
      <c r="D132" t="s">
        <v>31</v>
      </c>
      <c r="E132" t="s">
        <v>10</v>
      </c>
      <c r="F132" t="s">
        <v>18</v>
      </c>
      <c r="G132">
        <v>2</v>
      </c>
      <c r="H132">
        <v>12000</v>
      </c>
      <c r="I132">
        <f t="shared" si="8"/>
        <v>24000</v>
      </c>
      <c r="J132" t="str">
        <f t="shared" si="9"/>
        <v>02</v>
      </c>
    </row>
    <row r="133" spans="1:10" x14ac:dyDescent="0.35">
      <c r="A133">
        <v>1132</v>
      </c>
      <c r="B133" s="1">
        <v>45692</v>
      </c>
      <c r="C133" t="s">
        <v>19</v>
      </c>
      <c r="D133" t="s">
        <v>13</v>
      </c>
      <c r="E133" t="s">
        <v>14</v>
      </c>
      <c r="F133" t="s">
        <v>15</v>
      </c>
      <c r="G133">
        <v>3</v>
      </c>
      <c r="H133">
        <v>2000</v>
      </c>
      <c r="I133">
        <f t="shared" si="8"/>
        <v>6000</v>
      </c>
      <c r="J133" t="str">
        <f t="shared" si="9"/>
        <v>02</v>
      </c>
    </row>
    <row r="134" spans="1:10" x14ac:dyDescent="0.35">
      <c r="A134">
        <v>1133</v>
      </c>
      <c r="B134" s="1">
        <v>45694</v>
      </c>
      <c r="C134" t="s">
        <v>8</v>
      </c>
      <c r="D134" t="s">
        <v>32</v>
      </c>
      <c r="E134" t="s">
        <v>21</v>
      </c>
      <c r="F134" t="s">
        <v>22</v>
      </c>
      <c r="G134">
        <v>2</v>
      </c>
      <c r="H134">
        <v>3000</v>
      </c>
      <c r="I134">
        <f t="shared" si="8"/>
        <v>6000</v>
      </c>
      <c r="J134" t="str">
        <f t="shared" si="9"/>
        <v>02</v>
      </c>
    </row>
    <row r="135" spans="1:10" x14ac:dyDescent="0.35">
      <c r="A135">
        <v>1134</v>
      </c>
      <c r="B135" s="1">
        <v>45696</v>
      </c>
      <c r="C135" t="s">
        <v>12</v>
      </c>
      <c r="D135" t="s">
        <v>20</v>
      </c>
      <c r="E135" t="s">
        <v>10</v>
      </c>
      <c r="F135" t="s">
        <v>11</v>
      </c>
      <c r="G135">
        <v>1</v>
      </c>
      <c r="H135">
        <v>60000</v>
      </c>
      <c r="I135">
        <f t="shared" si="8"/>
        <v>60000</v>
      </c>
      <c r="J135" t="str">
        <f t="shared" si="9"/>
        <v>02</v>
      </c>
    </row>
    <row r="136" spans="1:10" x14ac:dyDescent="0.35">
      <c r="A136">
        <v>1135</v>
      </c>
      <c r="B136" s="1">
        <v>45698</v>
      </c>
      <c r="C136" t="s">
        <v>16</v>
      </c>
      <c r="D136" t="s">
        <v>33</v>
      </c>
      <c r="E136" t="s">
        <v>14</v>
      </c>
      <c r="F136" t="s">
        <v>23</v>
      </c>
      <c r="G136">
        <v>1</v>
      </c>
      <c r="H136">
        <v>45000</v>
      </c>
      <c r="I136">
        <f t="shared" si="8"/>
        <v>45000</v>
      </c>
      <c r="J136" t="str">
        <f t="shared" si="9"/>
        <v>02</v>
      </c>
    </row>
    <row r="137" spans="1:10" x14ac:dyDescent="0.35">
      <c r="A137">
        <v>1136</v>
      </c>
      <c r="B137" s="1">
        <v>45700</v>
      </c>
      <c r="C137" t="s">
        <v>19</v>
      </c>
      <c r="D137" t="s">
        <v>9</v>
      </c>
      <c r="E137" t="s">
        <v>10</v>
      </c>
      <c r="F137" t="s">
        <v>25</v>
      </c>
      <c r="G137">
        <v>4</v>
      </c>
      <c r="H137">
        <v>800</v>
      </c>
      <c r="I137">
        <f t="shared" si="8"/>
        <v>3200</v>
      </c>
      <c r="J137" t="str">
        <f t="shared" si="9"/>
        <v>02</v>
      </c>
    </row>
    <row r="138" spans="1:10" x14ac:dyDescent="0.35">
      <c r="A138">
        <v>1137</v>
      </c>
      <c r="B138" s="1">
        <v>45703</v>
      </c>
      <c r="C138" t="s">
        <v>8</v>
      </c>
      <c r="D138" t="s">
        <v>24</v>
      </c>
      <c r="E138" t="s">
        <v>21</v>
      </c>
      <c r="F138" t="s">
        <v>26</v>
      </c>
      <c r="G138">
        <v>2</v>
      </c>
      <c r="H138">
        <v>21000</v>
      </c>
      <c r="I138">
        <f t="shared" si="8"/>
        <v>42000</v>
      </c>
      <c r="J138" t="str">
        <f t="shared" si="9"/>
        <v>02</v>
      </c>
    </row>
    <row r="139" spans="1:10" x14ac:dyDescent="0.35">
      <c r="A139">
        <v>1138</v>
      </c>
      <c r="B139" s="1">
        <v>45706</v>
      </c>
      <c r="C139" t="s">
        <v>12</v>
      </c>
      <c r="D139" t="s">
        <v>27</v>
      </c>
      <c r="E139" t="s">
        <v>14</v>
      </c>
      <c r="F139" t="s">
        <v>29</v>
      </c>
      <c r="G139">
        <v>1</v>
      </c>
      <c r="H139">
        <v>3500</v>
      </c>
      <c r="I139">
        <f t="shared" si="8"/>
        <v>3500</v>
      </c>
      <c r="J139" t="str">
        <f t="shared" si="9"/>
        <v>02</v>
      </c>
    </row>
    <row r="140" spans="1:10" x14ac:dyDescent="0.35">
      <c r="A140">
        <v>1139</v>
      </c>
      <c r="B140" s="1">
        <v>45708</v>
      </c>
      <c r="C140" t="s">
        <v>16</v>
      </c>
      <c r="D140" t="s">
        <v>28</v>
      </c>
      <c r="E140" t="s">
        <v>10</v>
      </c>
      <c r="F140" t="s">
        <v>11</v>
      </c>
      <c r="G140">
        <v>1</v>
      </c>
      <c r="H140">
        <v>2600</v>
      </c>
      <c r="I140">
        <f t="shared" si="8"/>
        <v>2600</v>
      </c>
      <c r="J140" t="str">
        <f t="shared" si="9"/>
        <v>02</v>
      </c>
    </row>
    <row r="141" spans="1:10" x14ac:dyDescent="0.35">
      <c r="A141">
        <v>1140</v>
      </c>
      <c r="B141" s="1">
        <v>45710</v>
      </c>
      <c r="C141" t="s">
        <v>19</v>
      </c>
      <c r="D141" t="s">
        <v>31</v>
      </c>
      <c r="E141" t="s">
        <v>21</v>
      </c>
      <c r="F141" t="s">
        <v>30</v>
      </c>
      <c r="G141">
        <v>5</v>
      </c>
      <c r="H141">
        <v>58000</v>
      </c>
      <c r="I141">
        <f t="shared" si="8"/>
        <v>290000</v>
      </c>
      <c r="J141" t="str">
        <f t="shared" si="9"/>
        <v>02</v>
      </c>
    </row>
    <row r="142" spans="1:10" x14ac:dyDescent="0.35">
      <c r="A142">
        <v>1141</v>
      </c>
      <c r="B142" s="1">
        <v>45660</v>
      </c>
      <c r="C142" t="s">
        <v>8</v>
      </c>
      <c r="D142" t="s">
        <v>9</v>
      </c>
      <c r="E142" t="s">
        <v>10</v>
      </c>
      <c r="F142" t="s">
        <v>11</v>
      </c>
      <c r="G142">
        <v>2</v>
      </c>
      <c r="H142">
        <v>11000</v>
      </c>
      <c r="I142">
        <f t="shared" si="8"/>
        <v>22000</v>
      </c>
      <c r="J142" t="str">
        <f t="shared" si="9"/>
        <v>01</v>
      </c>
    </row>
    <row r="143" spans="1:10" x14ac:dyDescent="0.35">
      <c r="A143">
        <v>1142</v>
      </c>
      <c r="B143" s="1">
        <v>45662</v>
      </c>
      <c r="C143" t="s">
        <v>12</v>
      </c>
      <c r="D143" t="s">
        <v>13</v>
      </c>
      <c r="E143" t="s">
        <v>14</v>
      </c>
      <c r="F143" t="s">
        <v>15</v>
      </c>
      <c r="G143">
        <v>5</v>
      </c>
      <c r="H143">
        <v>2200</v>
      </c>
      <c r="I143">
        <f t="shared" si="8"/>
        <v>11000</v>
      </c>
      <c r="J143" t="str">
        <f t="shared" si="9"/>
        <v>01</v>
      </c>
    </row>
    <row r="144" spans="1:10" x14ac:dyDescent="0.35">
      <c r="A144">
        <v>1143</v>
      </c>
      <c r="B144" s="1">
        <v>45663</v>
      </c>
      <c r="C144" t="s">
        <v>16</v>
      </c>
      <c r="D144" t="s">
        <v>17</v>
      </c>
      <c r="E144" t="s">
        <v>10</v>
      </c>
      <c r="F144" t="s">
        <v>18</v>
      </c>
      <c r="G144">
        <v>3</v>
      </c>
      <c r="H144">
        <v>3200</v>
      </c>
      <c r="I144">
        <f t="shared" si="8"/>
        <v>9600</v>
      </c>
      <c r="J144" t="str">
        <f t="shared" si="9"/>
        <v>01</v>
      </c>
    </row>
    <row r="145" spans="1:10" x14ac:dyDescent="0.35">
      <c r="A145">
        <v>1144</v>
      </c>
      <c r="B145" s="1">
        <v>45664</v>
      </c>
      <c r="C145" t="s">
        <v>19</v>
      </c>
      <c r="D145" t="s">
        <v>20</v>
      </c>
      <c r="E145" t="s">
        <v>21</v>
      </c>
      <c r="F145" t="s">
        <v>22</v>
      </c>
      <c r="G145">
        <v>4</v>
      </c>
      <c r="H145">
        <v>47000</v>
      </c>
      <c r="I145">
        <f t="shared" si="8"/>
        <v>188000</v>
      </c>
      <c r="J145" t="str">
        <f t="shared" si="9"/>
        <v>01</v>
      </c>
    </row>
    <row r="146" spans="1:10" x14ac:dyDescent="0.35">
      <c r="A146">
        <v>1145</v>
      </c>
      <c r="B146" s="1">
        <v>45667</v>
      </c>
      <c r="C146" t="s">
        <v>8</v>
      </c>
      <c r="D146" t="s">
        <v>13</v>
      </c>
      <c r="E146" t="s">
        <v>14</v>
      </c>
      <c r="F146" t="s">
        <v>23</v>
      </c>
      <c r="G146">
        <v>2</v>
      </c>
      <c r="H146">
        <v>59000</v>
      </c>
      <c r="I146">
        <f t="shared" si="8"/>
        <v>118000</v>
      </c>
      <c r="J146" t="str">
        <f t="shared" si="9"/>
        <v>01</v>
      </c>
    </row>
    <row r="147" spans="1:10" x14ac:dyDescent="0.35">
      <c r="A147">
        <v>1146</v>
      </c>
      <c r="B147" s="1">
        <v>45668</v>
      </c>
      <c r="C147" t="s">
        <v>12</v>
      </c>
      <c r="D147" t="s">
        <v>24</v>
      </c>
      <c r="E147" t="s">
        <v>10</v>
      </c>
      <c r="F147" t="s">
        <v>25</v>
      </c>
      <c r="G147">
        <v>6</v>
      </c>
      <c r="H147">
        <v>850</v>
      </c>
      <c r="I147">
        <f t="shared" si="8"/>
        <v>5100</v>
      </c>
      <c r="J147" t="str">
        <f t="shared" si="9"/>
        <v>01</v>
      </c>
    </row>
    <row r="148" spans="1:10" x14ac:dyDescent="0.35">
      <c r="A148">
        <v>1147</v>
      </c>
      <c r="B148" s="1">
        <v>45670</v>
      </c>
      <c r="C148" t="s">
        <v>16</v>
      </c>
      <c r="D148" t="s">
        <v>9</v>
      </c>
      <c r="E148" t="s">
        <v>21</v>
      </c>
      <c r="F148" t="s">
        <v>26</v>
      </c>
      <c r="G148">
        <v>3</v>
      </c>
      <c r="H148">
        <v>3500</v>
      </c>
      <c r="I148">
        <f t="shared" si="8"/>
        <v>10500</v>
      </c>
      <c r="J148" t="str">
        <f t="shared" si="9"/>
        <v>01</v>
      </c>
    </row>
    <row r="149" spans="1:10" x14ac:dyDescent="0.35">
      <c r="A149">
        <v>1148</v>
      </c>
      <c r="B149" s="1">
        <v>45672</v>
      </c>
      <c r="C149" t="s">
        <v>19</v>
      </c>
      <c r="D149" t="s">
        <v>27</v>
      </c>
      <c r="E149" t="s">
        <v>10</v>
      </c>
      <c r="F149" t="s">
        <v>11</v>
      </c>
      <c r="G149">
        <v>1</v>
      </c>
      <c r="H149">
        <v>2600</v>
      </c>
      <c r="I149">
        <f t="shared" si="8"/>
        <v>2600</v>
      </c>
      <c r="J149" t="str">
        <f t="shared" si="9"/>
        <v>01</v>
      </c>
    </row>
    <row r="150" spans="1:10" x14ac:dyDescent="0.35">
      <c r="A150">
        <v>1149</v>
      </c>
      <c r="B150" s="1">
        <v>45675</v>
      </c>
      <c r="C150" t="s">
        <v>8</v>
      </c>
      <c r="D150" t="s">
        <v>28</v>
      </c>
      <c r="E150" t="s">
        <v>14</v>
      </c>
      <c r="F150" t="s">
        <v>29</v>
      </c>
      <c r="G150">
        <v>1</v>
      </c>
      <c r="H150">
        <v>58000</v>
      </c>
      <c r="I150">
        <f t="shared" si="8"/>
        <v>58000</v>
      </c>
      <c r="J150" t="str">
        <f t="shared" si="9"/>
        <v>01</v>
      </c>
    </row>
    <row r="151" spans="1:10" x14ac:dyDescent="0.35">
      <c r="A151">
        <v>1150</v>
      </c>
      <c r="B151" s="1">
        <v>45677</v>
      </c>
      <c r="C151" t="s">
        <v>12</v>
      </c>
      <c r="D151" t="s">
        <v>17</v>
      </c>
      <c r="E151" t="s">
        <v>21</v>
      </c>
      <c r="F151" t="s">
        <v>30</v>
      </c>
      <c r="G151">
        <v>10</v>
      </c>
      <c r="H151">
        <v>11000</v>
      </c>
      <c r="I151">
        <f t="shared" si="8"/>
        <v>110000</v>
      </c>
      <c r="J151" t="str">
        <f t="shared" si="9"/>
        <v>01</v>
      </c>
    </row>
    <row r="152" spans="1:10" x14ac:dyDescent="0.35">
      <c r="A152">
        <v>1151</v>
      </c>
      <c r="B152" s="1">
        <v>45690</v>
      </c>
      <c r="C152" t="s">
        <v>16</v>
      </c>
      <c r="D152" t="s">
        <v>31</v>
      </c>
      <c r="E152" t="s">
        <v>10</v>
      </c>
      <c r="F152" t="s">
        <v>18</v>
      </c>
      <c r="G152">
        <v>2</v>
      </c>
      <c r="H152">
        <v>2200</v>
      </c>
      <c r="I152">
        <f t="shared" si="8"/>
        <v>4400</v>
      </c>
      <c r="J152" t="str">
        <f t="shared" si="9"/>
        <v>02</v>
      </c>
    </row>
    <row r="153" spans="1:10" x14ac:dyDescent="0.35">
      <c r="A153">
        <v>1152</v>
      </c>
      <c r="B153" s="1">
        <v>45692</v>
      </c>
      <c r="C153" t="s">
        <v>19</v>
      </c>
      <c r="D153" t="s">
        <v>13</v>
      </c>
      <c r="E153" t="s">
        <v>14</v>
      </c>
      <c r="F153" t="s">
        <v>15</v>
      </c>
      <c r="G153">
        <v>3</v>
      </c>
      <c r="H153">
        <v>3200</v>
      </c>
      <c r="I153">
        <f t="shared" si="8"/>
        <v>9600</v>
      </c>
      <c r="J153" t="str">
        <f t="shared" si="9"/>
        <v>02</v>
      </c>
    </row>
    <row r="154" spans="1:10" x14ac:dyDescent="0.35">
      <c r="A154">
        <v>1153</v>
      </c>
      <c r="B154" s="1">
        <v>45694</v>
      </c>
      <c r="C154" t="s">
        <v>8</v>
      </c>
      <c r="D154" t="s">
        <v>32</v>
      </c>
      <c r="E154" t="s">
        <v>21</v>
      </c>
      <c r="F154" t="s">
        <v>22</v>
      </c>
      <c r="G154">
        <v>2</v>
      </c>
      <c r="H154">
        <v>47000</v>
      </c>
      <c r="I154">
        <f t="shared" si="8"/>
        <v>94000</v>
      </c>
      <c r="J154" t="str">
        <f t="shared" si="9"/>
        <v>02</v>
      </c>
    </row>
    <row r="155" spans="1:10" x14ac:dyDescent="0.35">
      <c r="A155">
        <v>1154</v>
      </c>
      <c r="B155" s="1">
        <v>45696</v>
      </c>
      <c r="C155" t="s">
        <v>12</v>
      </c>
      <c r="D155" t="s">
        <v>20</v>
      </c>
      <c r="E155" t="s">
        <v>10</v>
      </c>
      <c r="F155" t="s">
        <v>11</v>
      </c>
      <c r="G155">
        <v>1</v>
      </c>
      <c r="H155">
        <v>59000</v>
      </c>
      <c r="I155">
        <f t="shared" si="8"/>
        <v>59000</v>
      </c>
      <c r="J155" t="str">
        <f t="shared" si="9"/>
        <v>02</v>
      </c>
    </row>
    <row r="156" spans="1:10" x14ac:dyDescent="0.35">
      <c r="A156">
        <v>1155</v>
      </c>
      <c r="B156" s="1">
        <v>45698</v>
      </c>
      <c r="C156" t="s">
        <v>16</v>
      </c>
      <c r="D156" t="s">
        <v>33</v>
      </c>
      <c r="E156" t="s">
        <v>14</v>
      </c>
      <c r="F156" t="s">
        <v>23</v>
      </c>
      <c r="G156">
        <v>1</v>
      </c>
      <c r="H156">
        <v>850</v>
      </c>
      <c r="I156">
        <f t="shared" si="8"/>
        <v>850</v>
      </c>
      <c r="J156" t="str">
        <f t="shared" si="9"/>
        <v>02</v>
      </c>
    </row>
    <row r="157" spans="1:10" x14ac:dyDescent="0.35">
      <c r="A157">
        <v>1156</v>
      </c>
      <c r="B157" s="1">
        <v>45700</v>
      </c>
      <c r="C157" t="s">
        <v>19</v>
      </c>
      <c r="D157" t="s">
        <v>9</v>
      </c>
      <c r="E157" t="s">
        <v>10</v>
      </c>
      <c r="F157" t="s">
        <v>25</v>
      </c>
      <c r="G157">
        <v>4</v>
      </c>
      <c r="H157">
        <v>2500</v>
      </c>
      <c r="I157">
        <f t="shared" si="8"/>
        <v>10000</v>
      </c>
      <c r="J157" t="str">
        <f t="shared" si="9"/>
        <v>02</v>
      </c>
    </row>
    <row r="158" spans="1:10" x14ac:dyDescent="0.35">
      <c r="A158">
        <v>1157</v>
      </c>
      <c r="B158" s="1">
        <v>45703</v>
      </c>
      <c r="C158" t="s">
        <v>8</v>
      </c>
      <c r="D158" t="s">
        <v>24</v>
      </c>
      <c r="E158" t="s">
        <v>21</v>
      </c>
      <c r="F158" t="s">
        <v>26</v>
      </c>
      <c r="G158">
        <v>2</v>
      </c>
      <c r="H158">
        <v>12000</v>
      </c>
      <c r="I158">
        <f t="shared" si="8"/>
        <v>24000</v>
      </c>
      <c r="J158" t="str">
        <f t="shared" si="9"/>
        <v>02</v>
      </c>
    </row>
    <row r="159" spans="1:10" x14ac:dyDescent="0.35">
      <c r="A159">
        <v>1158</v>
      </c>
      <c r="B159" s="1">
        <v>45706</v>
      </c>
      <c r="C159" t="s">
        <v>12</v>
      </c>
      <c r="D159" t="s">
        <v>27</v>
      </c>
      <c r="E159" t="s">
        <v>14</v>
      </c>
      <c r="F159" t="s">
        <v>29</v>
      </c>
      <c r="G159">
        <v>1</v>
      </c>
      <c r="H159">
        <v>2000</v>
      </c>
      <c r="I159">
        <f t="shared" si="8"/>
        <v>2000</v>
      </c>
      <c r="J159" t="str">
        <f t="shared" si="9"/>
        <v>02</v>
      </c>
    </row>
    <row r="160" spans="1:10" x14ac:dyDescent="0.35">
      <c r="A160">
        <v>1159</v>
      </c>
      <c r="B160" s="1">
        <v>45708</v>
      </c>
      <c r="C160" t="s">
        <v>16</v>
      </c>
      <c r="D160" t="s">
        <v>28</v>
      </c>
      <c r="E160" t="s">
        <v>10</v>
      </c>
      <c r="F160" t="s">
        <v>11</v>
      </c>
      <c r="G160">
        <v>1</v>
      </c>
      <c r="H160">
        <v>3000</v>
      </c>
      <c r="I160">
        <f t="shared" si="8"/>
        <v>3000</v>
      </c>
      <c r="J160" t="str">
        <f t="shared" si="9"/>
        <v>02</v>
      </c>
    </row>
    <row r="161" spans="1:10" x14ac:dyDescent="0.35">
      <c r="A161">
        <v>1160</v>
      </c>
      <c r="B161" s="1">
        <v>45710</v>
      </c>
      <c r="C161" t="s">
        <v>19</v>
      </c>
      <c r="D161" t="s">
        <v>31</v>
      </c>
      <c r="E161" t="s">
        <v>21</v>
      </c>
      <c r="F161" t="s">
        <v>30</v>
      </c>
      <c r="G161">
        <v>5</v>
      </c>
      <c r="H161">
        <v>60000</v>
      </c>
      <c r="I161">
        <f t="shared" si="8"/>
        <v>300000</v>
      </c>
      <c r="J161" t="str">
        <f t="shared" si="9"/>
        <v>02</v>
      </c>
    </row>
    <row r="162" spans="1:10" x14ac:dyDescent="0.35">
      <c r="A162">
        <v>1161</v>
      </c>
      <c r="B162" s="1">
        <v>45660</v>
      </c>
      <c r="C162" t="s">
        <v>8</v>
      </c>
      <c r="D162" t="s">
        <v>9</v>
      </c>
      <c r="E162" t="s">
        <v>10</v>
      </c>
      <c r="F162" t="s">
        <v>11</v>
      </c>
      <c r="G162">
        <v>2</v>
      </c>
      <c r="H162">
        <v>45000</v>
      </c>
      <c r="I162">
        <f t="shared" si="8"/>
        <v>90000</v>
      </c>
      <c r="J162" t="str">
        <f t="shared" si="9"/>
        <v>01</v>
      </c>
    </row>
    <row r="163" spans="1:10" x14ac:dyDescent="0.35">
      <c r="A163">
        <v>1162</v>
      </c>
      <c r="B163" s="1">
        <v>45662</v>
      </c>
      <c r="C163" t="s">
        <v>12</v>
      </c>
      <c r="D163" t="s">
        <v>13</v>
      </c>
      <c r="E163" t="s">
        <v>14</v>
      </c>
      <c r="F163" t="s">
        <v>15</v>
      </c>
      <c r="G163">
        <v>5</v>
      </c>
      <c r="H163">
        <v>800</v>
      </c>
      <c r="I163">
        <f t="shared" si="8"/>
        <v>4000</v>
      </c>
      <c r="J163" t="str">
        <f t="shared" si="9"/>
        <v>01</v>
      </c>
    </row>
    <row r="164" spans="1:10" x14ac:dyDescent="0.35">
      <c r="A164">
        <v>1163</v>
      </c>
      <c r="B164" s="1">
        <v>45663</v>
      </c>
      <c r="C164" t="s">
        <v>16</v>
      </c>
      <c r="D164" t="s">
        <v>17</v>
      </c>
      <c r="E164" t="s">
        <v>10</v>
      </c>
      <c r="F164" t="s">
        <v>18</v>
      </c>
      <c r="G164">
        <v>3</v>
      </c>
      <c r="H164">
        <v>21000</v>
      </c>
      <c r="I164">
        <f t="shared" si="8"/>
        <v>63000</v>
      </c>
      <c r="J164" t="str">
        <f t="shared" si="9"/>
        <v>01</v>
      </c>
    </row>
    <row r="165" spans="1:10" x14ac:dyDescent="0.35">
      <c r="A165">
        <v>1164</v>
      </c>
      <c r="B165" s="1">
        <v>45664</v>
      </c>
      <c r="C165" t="s">
        <v>19</v>
      </c>
      <c r="D165" t="s">
        <v>20</v>
      </c>
      <c r="E165" t="s">
        <v>21</v>
      </c>
      <c r="F165" t="s">
        <v>22</v>
      </c>
      <c r="G165">
        <v>4</v>
      </c>
      <c r="H165">
        <v>3500</v>
      </c>
      <c r="I165">
        <f t="shared" si="8"/>
        <v>14000</v>
      </c>
      <c r="J165" t="str">
        <f t="shared" si="9"/>
        <v>01</v>
      </c>
    </row>
    <row r="166" spans="1:10" x14ac:dyDescent="0.35">
      <c r="A166">
        <v>1165</v>
      </c>
      <c r="B166" s="1">
        <v>45667</v>
      </c>
      <c r="C166" t="s">
        <v>8</v>
      </c>
      <c r="D166" t="s">
        <v>13</v>
      </c>
      <c r="E166" t="s">
        <v>14</v>
      </c>
      <c r="F166" t="s">
        <v>23</v>
      </c>
      <c r="G166">
        <v>2</v>
      </c>
      <c r="H166">
        <v>2600</v>
      </c>
      <c r="I166">
        <f t="shared" si="8"/>
        <v>5200</v>
      </c>
      <c r="J166" t="str">
        <f t="shared" si="9"/>
        <v>01</v>
      </c>
    </row>
    <row r="167" spans="1:10" x14ac:dyDescent="0.35">
      <c r="A167">
        <v>1166</v>
      </c>
      <c r="B167" s="1">
        <v>45668</v>
      </c>
      <c r="C167" t="s">
        <v>12</v>
      </c>
      <c r="D167" t="s">
        <v>24</v>
      </c>
      <c r="E167" t="s">
        <v>10</v>
      </c>
      <c r="F167" t="s">
        <v>25</v>
      </c>
      <c r="G167">
        <v>6</v>
      </c>
      <c r="H167">
        <v>58000</v>
      </c>
      <c r="I167">
        <f t="shared" si="8"/>
        <v>348000</v>
      </c>
      <c r="J167" t="str">
        <f t="shared" si="9"/>
        <v>01</v>
      </c>
    </row>
    <row r="168" spans="1:10" x14ac:dyDescent="0.35">
      <c r="A168">
        <v>1167</v>
      </c>
      <c r="B168" s="1">
        <v>45670</v>
      </c>
      <c r="C168" t="s">
        <v>16</v>
      </c>
      <c r="D168" t="s">
        <v>9</v>
      </c>
      <c r="E168" t="s">
        <v>21</v>
      </c>
      <c r="F168" t="s">
        <v>26</v>
      </c>
      <c r="G168">
        <v>3</v>
      </c>
      <c r="H168">
        <v>11000</v>
      </c>
      <c r="I168">
        <f t="shared" si="8"/>
        <v>33000</v>
      </c>
      <c r="J168" t="str">
        <f t="shared" si="9"/>
        <v>01</v>
      </c>
    </row>
    <row r="169" spans="1:10" x14ac:dyDescent="0.35">
      <c r="A169">
        <v>1168</v>
      </c>
      <c r="B169" s="1">
        <v>45672</v>
      </c>
      <c r="C169" t="s">
        <v>19</v>
      </c>
      <c r="D169" t="s">
        <v>27</v>
      </c>
      <c r="E169" t="s">
        <v>10</v>
      </c>
      <c r="F169" t="s">
        <v>11</v>
      </c>
      <c r="G169">
        <v>1</v>
      </c>
      <c r="H169">
        <v>2200</v>
      </c>
      <c r="I169">
        <f t="shared" si="8"/>
        <v>2200</v>
      </c>
      <c r="J169" t="str">
        <f t="shared" si="9"/>
        <v>01</v>
      </c>
    </row>
    <row r="170" spans="1:10" x14ac:dyDescent="0.35">
      <c r="A170">
        <v>1169</v>
      </c>
      <c r="B170" s="1">
        <v>45675</v>
      </c>
      <c r="C170" t="s">
        <v>8</v>
      </c>
      <c r="D170" t="s">
        <v>28</v>
      </c>
      <c r="E170" t="s">
        <v>14</v>
      </c>
      <c r="F170" t="s">
        <v>29</v>
      </c>
      <c r="G170">
        <v>1</v>
      </c>
      <c r="H170">
        <v>55000</v>
      </c>
      <c r="I170">
        <f t="shared" si="8"/>
        <v>55000</v>
      </c>
      <c r="J170" t="str">
        <f t="shared" si="9"/>
        <v>01</v>
      </c>
    </row>
    <row r="171" spans="1:10" x14ac:dyDescent="0.35">
      <c r="A171">
        <v>1170</v>
      </c>
      <c r="B171" s="1">
        <v>45677</v>
      </c>
      <c r="C171" t="s">
        <v>12</v>
      </c>
      <c r="D171" t="s">
        <v>17</v>
      </c>
      <c r="E171" t="s">
        <v>21</v>
      </c>
      <c r="F171" t="s">
        <v>30</v>
      </c>
      <c r="G171">
        <v>10</v>
      </c>
      <c r="H171">
        <v>3500</v>
      </c>
      <c r="I171">
        <f t="shared" si="8"/>
        <v>35000</v>
      </c>
      <c r="J171" t="str">
        <f t="shared" si="9"/>
        <v>01</v>
      </c>
    </row>
    <row r="172" spans="1:10" x14ac:dyDescent="0.35">
      <c r="A172">
        <v>1171</v>
      </c>
      <c r="B172" s="1">
        <v>45690</v>
      </c>
      <c r="C172" t="s">
        <v>16</v>
      </c>
      <c r="D172" t="s">
        <v>31</v>
      </c>
      <c r="E172" t="s">
        <v>10</v>
      </c>
      <c r="F172" t="s">
        <v>18</v>
      </c>
      <c r="G172">
        <v>2</v>
      </c>
      <c r="H172">
        <v>22000</v>
      </c>
      <c r="I172">
        <f t="shared" si="8"/>
        <v>44000</v>
      </c>
      <c r="J172" t="str">
        <f t="shared" si="9"/>
        <v>02</v>
      </c>
    </row>
    <row r="173" spans="1:10" x14ac:dyDescent="0.35">
      <c r="A173">
        <v>1172</v>
      </c>
      <c r="B173" s="1">
        <v>45692</v>
      </c>
      <c r="C173" t="s">
        <v>19</v>
      </c>
      <c r="D173" t="s">
        <v>13</v>
      </c>
      <c r="E173" t="s">
        <v>14</v>
      </c>
      <c r="F173" t="s">
        <v>15</v>
      </c>
      <c r="G173">
        <v>3</v>
      </c>
      <c r="H173">
        <v>2500</v>
      </c>
      <c r="I173">
        <f t="shared" si="8"/>
        <v>7500</v>
      </c>
      <c r="J173" t="str">
        <f t="shared" si="9"/>
        <v>02</v>
      </c>
    </row>
    <row r="174" spans="1:10" x14ac:dyDescent="0.35">
      <c r="A174">
        <v>1173</v>
      </c>
      <c r="B174" s="1">
        <v>45694</v>
      </c>
      <c r="C174" t="s">
        <v>8</v>
      </c>
      <c r="D174" t="s">
        <v>32</v>
      </c>
      <c r="E174" t="s">
        <v>21</v>
      </c>
      <c r="F174" t="s">
        <v>22</v>
      </c>
      <c r="G174">
        <v>2</v>
      </c>
      <c r="H174">
        <v>12000</v>
      </c>
      <c r="I174">
        <f t="shared" si="8"/>
        <v>24000</v>
      </c>
      <c r="J174" t="str">
        <f t="shared" si="9"/>
        <v>02</v>
      </c>
    </row>
    <row r="175" spans="1:10" x14ac:dyDescent="0.35">
      <c r="A175">
        <v>1174</v>
      </c>
      <c r="B175" s="1">
        <v>45696</v>
      </c>
      <c r="C175" t="s">
        <v>12</v>
      </c>
      <c r="D175" t="s">
        <v>20</v>
      </c>
      <c r="E175" t="s">
        <v>10</v>
      </c>
      <c r="F175" t="s">
        <v>11</v>
      </c>
      <c r="G175">
        <v>1</v>
      </c>
      <c r="H175">
        <v>2000</v>
      </c>
      <c r="I175">
        <f t="shared" si="8"/>
        <v>2000</v>
      </c>
      <c r="J175" t="str">
        <f t="shared" si="9"/>
        <v>02</v>
      </c>
    </row>
    <row r="176" spans="1:10" x14ac:dyDescent="0.35">
      <c r="A176">
        <v>1175</v>
      </c>
      <c r="B176" s="1">
        <v>45698</v>
      </c>
      <c r="C176" t="s">
        <v>16</v>
      </c>
      <c r="D176" t="s">
        <v>33</v>
      </c>
      <c r="E176" t="s">
        <v>14</v>
      </c>
      <c r="F176" t="s">
        <v>23</v>
      </c>
      <c r="G176">
        <v>1</v>
      </c>
      <c r="H176">
        <v>3000</v>
      </c>
      <c r="I176">
        <f t="shared" si="8"/>
        <v>3000</v>
      </c>
      <c r="J176" t="str">
        <f t="shared" si="9"/>
        <v>02</v>
      </c>
    </row>
    <row r="177" spans="1:10" x14ac:dyDescent="0.35">
      <c r="A177">
        <v>1176</v>
      </c>
      <c r="B177" s="1">
        <v>45700</v>
      </c>
      <c r="C177" t="s">
        <v>19</v>
      </c>
      <c r="D177" t="s">
        <v>9</v>
      </c>
      <c r="E177" t="s">
        <v>10</v>
      </c>
      <c r="F177" t="s">
        <v>25</v>
      </c>
      <c r="G177">
        <v>4</v>
      </c>
      <c r="H177">
        <v>60000</v>
      </c>
      <c r="I177">
        <f t="shared" si="8"/>
        <v>240000</v>
      </c>
      <c r="J177" t="str">
        <f t="shared" si="9"/>
        <v>02</v>
      </c>
    </row>
    <row r="178" spans="1:10" x14ac:dyDescent="0.35">
      <c r="A178">
        <v>1177</v>
      </c>
      <c r="B178" s="1">
        <v>45703</v>
      </c>
      <c r="C178" t="s">
        <v>8</v>
      </c>
      <c r="D178" t="s">
        <v>24</v>
      </c>
      <c r="E178" t="s">
        <v>21</v>
      </c>
      <c r="F178" t="s">
        <v>26</v>
      </c>
      <c r="G178">
        <v>2</v>
      </c>
      <c r="H178">
        <v>45000</v>
      </c>
      <c r="I178">
        <f t="shared" si="8"/>
        <v>90000</v>
      </c>
      <c r="J178" t="str">
        <f t="shared" si="9"/>
        <v>02</v>
      </c>
    </row>
    <row r="179" spans="1:10" x14ac:dyDescent="0.35">
      <c r="A179">
        <v>1178</v>
      </c>
      <c r="B179" s="1">
        <v>45706</v>
      </c>
      <c r="C179" t="s">
        <v>12</v>
      </c>
      <c r="D179" t="s">
        <v>27</v>
      </c>
      <c r="E179" t="s">
        <v>14</v>
      </c>
      <c r="F179" t="s">
        <v>29</v>
      </c>
      <c r="G179">
        <v>1</v>
      </c>
      <c r="H179">
        <v>800</v>
      </c>
      <c r="I179">
        <f t="shared" si="8"/>
        <v>800</v>
      </c>
      <c r="J179" t="str">
        <f t="shared" si="9"/>
        <v>02</v>
      </c>
    </row>
    <row r="180" spans="1:10" x14ac:dyDescent="0.35">
      <c r="A180">
        <v>1179</v>
      </c>
      <c r="B180" s="1">
        <v>45708</v>
      </c>
      <c r="C180" t="s">
        <v>16</v>
      </c>
      <c r="D180" t="s">
        <v>28</v>
      </c>
      <c r="E180" t="s">
        <v>10</v>
      </c>
      <c r="F180" t="s">
        <v>11</v>
      </c>
      <c r="G180">
        <v>1</v>
      </c>
      <c r="H180">
        <v>21000</v>
      </c>
      <c r="I180">
        <f t="shared" si="8"/>
        <v>21000</v>
      </c>
      <c r="J180" t="str">
        <f t="shared" si="9"/>
        <v>02</v>
      </c>
    </row>
    <row r="181" spans="1:10" x14ac:dyDescent="0.35">
      <c r="A181">
        <v>1180</v>
      </c>
      <c r="B181" s="1">
        <v>45710</v>
      </c>
      <c r="C181" t="s">
        <v>19</v>
      </c>
      <c r="D181" t="s">
        <v>31</v>
      </c>
      <c r="E181" t="s">
        <v>21</v>
      </c>
      <c r="F181" t="s">
        <v>30</v>
      </c>
      <c r="G181">
        <v>5</v>
      </c>
      <c r="H181">
        <v>3500</v>
      </c>
      <c r="I181">
        <f t="shared" si="8"/>
        <v>17500</v>
      </c>
      <c r="J181" t="str">
        <f t="shared" si="9"/>
        <v>02</v>
      </c>
    </row>
    <row r="182" spans="1:10" x14ac:dyDescent="0.35">
      <c r="A182">
        <v>1181</v>
      </c>
      <c r="B182" s="1">
        <v>45660</v>
      </c>
      <c r="C182" t="s">
        <v>8</v>
      </c>
      <c r="D182" t="s">
        <v>9</v>
      </c>
      <c r="E182" t="s">
        <v>10</v>
      </c>
      <c r="F182" t="s">
        <v>11</v>
      </c>
      <c r="G182">
        <v>2</v>
      </c>
      <c r="H182">
        <v>2600</v>
      </c>
      <c r="I182">
        <f t="shared" si="8"/>
        <v>5200</v>
      </c>
      <c r="J182" t="str">
        <f t="shared" si="9"/>
        <v>01</v>
      </c>
    </row>
    <row r="183" spans="1:10" x14ac:dyDescent="0.35">
      <c r="A183">
        <v>1182</v>
      </c>
      <c r="B183" s="1">
        <v>45662</v>
      </c>
      <c r="C183" t="s">
        <v>12</v>
      </c>
      <c r="D183" t="s">
        <v>13</v>
      </c>
      <c r="E183" t="s">
        <v>14</v>
      </c>
      <c r="F183" t="s">
        <v>15</v>
      </c>
      <c r="G183">
        <v>5</v>
      </c>
      <c r="H183">
        <v>58000</v>
      </c>
      <c r="I183">
        <f t="shared" si="8"/>
        <v>290000</v>
      </c>
      <c r="J183" t="str">
        <f t="shared" si="9"/>
        <v>01</v>
      </c>
    </row>
    <row r="184" spans="1:10" x14ac:dyDescent="0.35">
      <c r="A184">
        <v>1183</v>
      </c>
      <c r="B184" s="1">
        <v>45663</v>
      </c>
      <c r="C184" t="s">
        <v>16</v>
      </c>
      <c r="D184" t="s">
        <v>17</v>
      </c>
      <c r="E184" t="s">
        <v>10</v>
      </c>
      <c r="F184" t="s">
        <v>18</v>
      </c>
      <c r="G184">
        <v>3</v>
      </c>
      <c r="H184">
        <v>11000</v>
      </c>
      <c r="I184">
        <f t="shared" si="8"/>
        <v>33000</v>
      </c>
      <c r="J184" t="str">
        <f t="shared" si="9"/>
        <v>01</v>
      </c>
    </row>
    <row r="185" spans="1:10" x14ac:dyDescent="0.35">
      <c r="A185">
        <v>1184</v>
      </c>
      <c r="B185" s="1">
        <v>45664</v>
      </c>
      <c r="C185" t="s">
        <v>19</v>
      </c>
      <c r="D185" t="s">
        <v>20</v>
      </c>
      <c r="E185" t="s">
        <v>21</v>
      </c>
      <c r="F185" t="s">
        <v>22</v>
      </c>
      <c r="G185">
        <v>4</v>
      </c>
      <c r="H185">
        <v>2200</v>
      </c>
      <c r="I185">
        <f t="shared" si="8"/>
        <v>8800</v>
      </c>
      <c r="J185" t="str">
        <f t="shared" si="9"/>
        <v>01</v>
      </c>
    </row>
    <row r="186" spans="1:10" x14ac:dyDescent="0.35">
      <c r="A186">
        <v>1185</v>
      </c>
      <c r="B186" s="1">
        <v>45667</v>
      </c>
      <c r="C186" t="s">
        <v>8</v>
      </c>
      <c r="D186" t="s">
        <v>13</v>
      </c>
      <c r="E186" t="s">
        <v>14</v>
      </c>
      <c r="F186" t="s">
        <v>23</v>
      </c>
      <c r="G186">
        <v>2</v>
      </c>
      <c r="H186">
        <v>3200</v>
      </c>
      <c r="I186">
        <f t="shared" si="8"/>
        <v>6400</v>
      </c>
      <c r="J186" t="str">
        <f t="shared" si="9"/>
        <v>01</v>
      </c>
    </row>
    <row r="187" spans="1:10" x14ac:dyDescent="0.35">
      <c r="A187">
        <v>1186</v>
      </c>
      <c r="B187" s="1">
        <v>45668</v>
      </c>
      <c r="C187" t="s">
        <v>12</v>
      </c>
      <c r="D187" t="s">
        <v>24</v>
      </c>
      <c r="E187" t="s">
        <v>10</v>
      </c>
      <c r="F187" t="s">
        <v>25</v>
      </c>
      <c r="G187">
        <v>6</v>
      </c>
      <c r="H187">
        <v>47000</v>
      </c>
      <c r="I187">
        <f t="shared" si="8"/>
        <v>282000</v>
      </c>
      <c r="J187" t="str">
        <f t="shared" si="9"/>
        <v>01</v>
      </c>
    </row>
    <row r="188" spans="1:10" x14ac:dyDescent="0.35">
      <c r="A188">
        <v>1187</v>
      </c>
      <c r="B188" s="1">
        <v>45670</v>
      </c>
      <c r="C188" t="s">
        <v>16</v>
      </c>
      <c r="D188" t="s">
        <v>9</v>
      </c>
      <c r="E188" t="s">
        <v>21</v>
      </c>
      <c r="F188" t="s">
        <v>26</v>
      </c>
      <c r="G188">
        <v>3</v>
      </c>
      <c r="H188">
        <v>59000</v>
      </c>
      <c r="I188">
        <f t="shared" si="8"/>
        <v>177000</v>
      </c>
      <c r="J188" t="str">
        <f t="shared" si="9"/>
        <v>01</v>
      </c>
    </row>
    <row r="189" spans="1:10" x14ac:dyDescent="0.35">
      <c r="A189">
        <v>1188</v>
      </c>
      <c r="B189" s="1">
        <v>45672</v>
      </c>
      <c r="C189" t="s">
        <v>19</v>
      </c>
      <c r="D189" t="s">
        <v>27</v>
      </c>
      <c r="E189" t="s">
        <v>10</v>
      </c>
      <c r="F189" t="s">
        <v>11</v>
      </c>
      <c r="G189">
        <v>1</v>
      </c>
      <c r="H189">
        <v>850</v>
      </c>
      <c r="I189">
        <f t="shared" si="8"/>
        <v>850</v>
      </c>
      <c r="J189" t="str">
        <f t="shared" si="9"/>
        <v>01</v>
      </c>
    </row>
    <row r="190" spans="1:10" x14ac:dyDescent="0.35">
      <c r="A190">
        <v>1189</v>
      </c>
      <c r="B190" s="1">
        <v>45675</v>
      </c>
      <c r="C190" t="s">
        <v>8</v>
      </c>
      <c r="D190" t="s">
        <v>28</v>
      </c>
      <c r="E190" t="s">
        <v>14</v>
      </c>
      <c r="F190" t="s">
        <v>29</v>
      </c>
      <c r="G190">
        <v>1</v>
      </c>
      <c r="H190">
        <v>3500</v>
      </c>
      <c r="I190">
        <f t="shared" si="8"/>
        <v>3500</v>
      </c>
      <c r="J190" t="str">
        <f t="shared" si="9"/>
        <v>01</v>
      </c>
    </row>
    <row r="191" spans="1:10" x14ac:dyDescent="0.35">
      <c r="A191">
        <v>1190</v>
      </c>
      <c r="B191" s="1">
        <v>45677</v>
      </c>
      <c r="C191" t="s">
        <v>12</v>
      </c>
      <c r="D191" t="s">
        <v>17</v>
      </c>
      <c r="E191" t="s">
        <v>21</v>
      </c>
      <c r="F191" t="s">
        <v>30</v>
      </c>
      <c r="G191">
        <v>10</v>
      </c>
      <c r="H191">
        <v>2600</v>
      </c>
      <c r="I191">
        <f t="shared" si="8"/>
        <v>26000</v>
      </c>
      <c r="J191" t="str">
        <f t="shared" si="9"/>
        <v>01</v>
      </c>
    </row>
    <row r="192" spans="1:10" x14ac:dyDescent="0.35">
      <c r="A192">
        <v>1191</v>
      </c>
      <c r="B192" s="1">
        <v>45690</v>
      </c>
      <c r="C192" t="s">
        <v>16</v>
      </c>
      <c r="D192" t="s">
        <v>31</v>
      </c>
      <c r="E192" t="s">
        <v>10</v>
      </c>
      <c r="F192" t="s">
        <v>18</v>
      </c>
      <c r="G192">
        <v>2</v>
      </c>
      <c r="H192">
        <v>58000</v>
      </c>
      <c r="I192">
        <f t="shared" si="8"/>
        <v>116000</v>
      </c>
      <c r="J192" t="str">
        <f t="shared" si="9"/>
        <v>02</v>
      </c>
    </row>
    <row r="193" spans="1:10" x14ac:dyDescent="0.35">
      <c r="A193">
        <v>1192</v>
      </c>
      <c r="B193" s="1">
        <v>45692</v>
      </c>
      <c r="C193" t="s">
        <v>19</v>
      </c>
      <c r="D193" t="s">
        <v>13</v>
      </c>
      <c r="E193" t="s">
        <v>14</v>
      </c>
      <c r="F193" t="s">
        <v>15</v>
      </c>
      <c r="G193">
        <v>3</v>
      </c>
      <c r="H193">
        <v>11000</v>
      </c>
      <c r="I193">
        <f t="shared" si="8"/>
        <v>33000</v>
      </c>
      <c r="J193" t="str">
        <f t="shared" si="9"/>
        <v>02</v>
      </c>
    </row>
    <row r="194" spans="1:10" x14ac:dyDescent="0.35">
      <c r="A194">
        <v>1193</v>
      </c>
      <c r="B194" s="1">
        <v>45694</v>
      </c>
      <c r="C194" t="s">
        <v>8</v>
      </c>
      <c r="D194" t="s">
        <v>32</v>
      </c>
      <c r="E194" t="s">
        <v>21</v>
      </c>
      <c r="F194" t="s">
        <v>22</v>
      </c>
      <c r="G194">
        <v>2</v>
      </c>
      <c r="H194">
        <v>2200</v>
      </c>
      <c r="I194">
        <f t="shared" si="8"/>
        <v>4400</v>
      </c>
      <c r="J194" t="str">
        <f t="shared" si="9"/>
        <v>02</v>
      </c>
    </row>
    <row r="195" spans="1:10" x14ac:dyDescent="0.35">
      <c r="A195">
        <v>1194</v>
      </c>
      <c r="B195" s="1">
        <v>45696</v>
      </c>
      <c r="C195" t="s">
        <v>12</v>
      </c>
      <c r="D195" t="s">
        <v>20</v>
      </c>
      <c r="E195" t="s">
        <v>10</v>
      </c>
      <c r="F195" t="s">
        <v>11</v>
      </c>
      <c r="G195">
        <v>1</v>
      </c>
      <c r="H195">
        <v>3200</v>
      </c>
      <c r="I195">
        <f t="shared" ref="I195:I258" si="10">H195*G195</f>
        <v>3200</v>
      </c>
      <c r="J195" t="str">
        <f t="shared" ref="J195:J258" si="11">TEXT(B195,"MM")</f>
        <v>02</v>
      </c>
    </row>
    <row r="196" spans="1:10" x14ac:dyDescent="0.35">
      <c r="A196">
        <v>1195</v>
      </c>
      <c r="B196" s="1">
        <v>45698</v>
      </c>
      <c r="C196" t="s">
        <v>16</v>
      </c>
      <c r="D196" t="s">
        <v>33</v>
      </c>
      <c r="E196" t="s">
        <v>14</v>
      </c>
      <c r="F196" t="s">
        <v>23</v>
      </c>
      <c r="G196">
        <v>1</v>
      </c>
      <c r="H196">
        <v>47000</v>
      </c>
      <c r="I196">
        <f t="shared" si="10"/>
        <v>47000</v>
      </c>
      <c r="J196" t="str">
        <f t="shared" si="11"/>
        <v>02</v>
      </c>
    </row>
    <row r="197" spans="1:10" x14ac:dyDescent="0.35">
      <c r="A197">
        <v>1196</v>
      </c>
      <c r="B197" s="1">
        <v>45700</v>
      </c>
      <c r="C197" t="s">
        <v>19</v>
      </c>
      <c r="D197" t="s">
        <v>9</v>
      </c>
      <c r="E197" t="s">
        <v>10</v>
      </c>
      <c r="F197" t="s">
        <v>25</v>
      </c>
      <c r="G197">
        <v>4</v>
      </c>
      <c r="H197">
        <v>59000</v>
      </c>
      <c r="I197">
        <f t="shared" si="10"/>
        <v>236000</v>
      </c>
      <c r="J197" t="str">
        <f t="shared" si="11"/>
        <v>02</v>
      </c>
    </row>
    <row r="198" spans="1:10" x14ac:dyDescent="0.35">
      <c r="A198">
        <v>1197</v>
      </c>
      <c r="B198" s="1">
        <v>45703</v>
      </c>
      <c r="C198" t="s">
        <v>8</v>
      </c>
      <c r="D198" t="s">
        <v>24</v>
      </c>
      <c r="E198" t="s">
        <v>21</v>
      </c>
      <c r="F198" t="s">
        <v>26</v>
      </c>
      <c r="G198">
        <v>2</v>
      </c>
      <c r="H198">
        <v>850</v>
      </c>
      <c r="I198">
        <f t="shared" si="10"/>
        <v>1700</v>
      </c>
      <c r="J198" t="str">
        <f t="shared" si="11"/>
        <v>02</v>
      </c>
    </row>
    <row r="199" spans="1:10" x14ac:dyDescent="0.35">
      <c r="A199">
        <v>1198</v>
      </c>
      <c r="B199" s="1">
        <v>45706</v>
      </c>
      <c r="C199" t="s">
        <v>12</v>
      </c>
      <c r="D199" t="s">
        <v>27</v>
      </c>
      <c r="E199" t="s">
        <v>14</v>
      </c>
      <c r="F199" t="s">
        <v>29</v>
      </c>
      <c r="G199">
        <v>1</v>
      </c>
      <c r="H199">
        <v>2500</v>
      </c>
      <c r="I199">
        <f t="shared" si="10"/>
        <v>2500</v>
      </c>
      <c r="J199" t="str">
        <f t="shared" si="11"/>
        <v>02</v>
      </c>
    </row>
    <row r="200" spans="1:10" x14ac:dyDescent="0.35">
      <c r="A200">
        <v>1199</v>
      </c>
      <c r="B200" s="1">
        <v>45708</v>
      </c>
      <c r="C200" t="s">
        <v>16</v>
      </c>
      <c r="D200" t="s">
        <v>28</v>
      </c>
      <c r="E200" t="s">
        <v>10</v>
      </c>
      <c r="F200" t="s">
        <v>11</v>
      </c>
      <c r="G200">
        <v>1</v>
      </c>
      <c r="H200">
        <v>12000</v>
      </c>
      <c r="I200">
        <f t="shared" si="10"/>
        <v>12000</v>
      </c>
      <c r="J200" t="str">
        <f t="shared" si="11"/>
        <v>02</v>
      </c>
    </row>
    <row r="201" spans="1:10" x14ac:dyDescent="0.35">
      <c r="A201">
        <v>1200</v>
      </c>
      <c r="B201" s="1">
        <v>45710</v>
      </c>
      <c r="C201" t="s">
        <v>19</v>
      </c>
      <c r="D201" t="s">
        <v>31</v>
      </c>
      <c r="E201" t="s">
        <v>21</v>
      </c>
      <c r="F201" t="s">
        <v>30</v>
      </c>
      <c r="G201">
        <v>5</v>
      </c>
      <c r="H201">
        <v>2000</v>
      </c>
      <c r="I201">
        <f t="shared" si="10"/>
        <v>10000</v>
      </c>
      <c r="J201" t="str">
        <f t="shared" si="11"/>
        <v>02</v>
      </c>
    </row>
    <row r="202" spans="1:10" x14ac:dyDescent="0.35">
      <c r="A202">
        <v>1201</v>
      </c>
      <c r="B202" s="1">
        <v>45660</v>
      </c>
      <c r="C202" t="s">
        <v>8</v>
      </c>
      <c r="D202" t="s">
        <v>9</v>
      </c>
      <c r="E202" t="s">
        <v>10</v>
      </c>
      <c r="F202" t="s">
        <v>11</v>
      </c>
      <c r="G202">
        <v>2</v>
      </c>
      <c r="H202">
        <v>3000</v>
      </c>
      <c r="I202">
        <f t="shared" si="10"/>
        <v>6000</v>
      </c>
      <c r="J202" t="str">
        <f t="shared" si="11"/>
        <v>01</v>
      </c>
    </row>
    <row r="203" spans="1:10" x14ac:dyDescent="0.35">
      <c r="A203">
        <v>1202</v>
      </c>
      <c r="B203" s="1">
        <v>45662</v>
      </c>
      <c r="C203" t="s">
        <v>12</v>
      </c>
      <c r="D203" t="s">
        <v>13</v>
      </c>
      <c r="E203" t="s">
        <v>14</v>
      </c>
      <c r="F203" t="s">
        <v>15</v>
      </c>
      <c r="G203">
        <v>5</v>
      </c>
      <c r="H203">
        <v>60000</v>
      </c>
      <c r="I203">
        <f t="shared" si="10"/>
        <v>300000</v>
      </c>
      <c r="J203" t="str">
        <f t="shared" si="11"/>
        <v>01</v>
      </c>
    </row>
    <row r="204" spans="1:10" x14ac:dyDescent="0.35">
      <c r="A204">
        <v>1203</v>
      </c>
      <c r="B204" s="1">
        <v>45663</v>
      </c>
      <c r="C204" t="s">
        <v>16</v>
      </c>
      <c r="D204" t="s">
        <v>17</v>
      </c>
      <c r="E204" t="s">
        <v>10</v>
      </c>
      <c r="F204" t="s">
        <v>18</v>
      </c>
      <c r="G204">
        <v>3</v>
      </c>
      <c r="H204">
        <v>45000</v>
      </c>
      <c r="I204">
        <f t="shared" si="10"/>
        <v>135000</v>
      </c>
      <c r="J204" t="str">
        <f t="shared" si="11"/>
        <v>01</v>
      </c>
    </row>
    <row r="205" spans="1:10" x14ac:dyDescent="0.35">
      <c r="A205">
        <v>1204</v>
      </c>
      <c r="B205" s="1">
        <v>45664</v>
      </c>
      <c r="C205" t="s">
        <v>19</v>
      </c>
      <c r="D205" t="s">
        <v>20</v>
      </c>
      <c r="E205" t="s">
        <v>21</v>
      </c>
      <c r="F205" t="s">
        <v>22</v>
      </c>
      <c r="G205">
        <v>4</v>
      </c>
      <c r="H205">
        <v>800</v>
      </c>
      <c r="I205">
        <f t="shared" si="10"/>
        <v>3200</v>
      </c>
      <c r="J205" t="str">
        <f t="shared" si="11"/>
        <v>01</v>
      </c>
    </row>
    <row r="206" spans="1:10" x14ac:dyDescent="0.35">
      <c r="A206">
        <v>1205</v>
      </c>
      <c r="B206" s="1">
        <v>45667</v>
      </c>
      <c r="C206" t="s">
        <v>8</v>
      </c>
      <c r="D206" t="s">
        <v>13</v>
      </c>
      <c r="E206" t="s">
        <v>14</v>
      </c>
      <c r="F206" t="s">
        <v>23</v>
      </c>
      <c r="G206">
        <v>2</v>
      </c>
      <c r="H206">
        <v>21000</v>
      </c>
      <c r="I206">
        <f t="shared" si="10"/>
        <v>42000</v>
      </c>
      <c r="J206" t="str">
        <f t="shared" si="11"/>
        <v>01</v>
      </c>
    </row>
    <row r="207" spans="1:10" x14ac:dyDescent="0.35">
      <c r="A207">
        <v>1206</v>
      </c>
      <c r="B207" s="1">
        <v>45668</v>
      </c>
      <c r="C207" t="s">
        <v>12</v>
      </c>
      <c r="D207" t="s">
        <v>24</v>
      </c>
      <c r="E207" t="s">
        <v>10</v>
      </c>
      <c r="F207" t="s">
        <v>25</v>
      </c>
      <c r="G207">
        <v>6</v>
      </c>
      <c r="H207">
        <v>3500</v>
      </c>
      <c r="I207">
        <f t="shared" si="10"/>
        <v>21000</v>
      </c>
      <c r="J207" t="str">
        <f t="shared" si="11"/>
        <v>01</v>
      </c>
    </row>
    <row r="208" spans="1:10" x14ac:dyDescent="0.35">
      <c r="A208">
        <v>1207</v>
      </c>
      <c r="B208" s="1">
        <v>45670</v>
      </c>
      <c r="C208" t="s">
        <v>16</v>
      </c>
      <c r="D208" t="s">
        <v>9</v>
      </c>
      <c r="E208" t="s">
        <v>21</v>
      </c>
      <c r="F208" t="s">
        <v>26</v>
      </c>
      <c r="G208">
        <v>3</v>
      </c>
      <c r="H208">
        <v>2600</v>
      </c>
      <c r="I208">
        <f t="shared" si="10"/>
        <v>7800</v>
      </c>
      <c r="J208" t="str">
        <f t="shared" si="11"/>
        <v>01</v>
      </c>
    </row>
    <row r="209" spans="1:10" x14ac:dyDescent="0.35">
      <c r="A209">
        <v>1208</v>
      </c>
      <c r="B209" s="1">
        <v>45672</v>
      </c>
      <c r="C209" t="s">
        <v>19</v>
      </c>
      <c r="D209" t="s">
        <v>27</v>
      </c>
      <c r="E209" t="s">
        <v>10</v>
      </c>
      <c r="F209" t="s">
        <v>11</v>
      </c>
      <c r="G209">
        <v>1</v>
      </c>
      <c r="H209">
        <v>58000</v>
      </c>
      <c r="I209">
        <f t="shared" si="10"/>
        <v>58000</v>
      </c>
      <c r="J209" t="str">
        <f t="shared" si="11"/>
        <v>01</v>
      </c>
    </row>
    <row r="210" spans="1:10" x14ac:dyDescent="0.35">
      <c r="A210">
        <v>1209</v>
      </c>
      <c r="B210" s="1">
        <v>45675</v>
      </c>
      <c r="C210" t="s">
        <v>8</v>
      </c>
      <c r="D210" t="s">
        <v>28</v>
      </c>
      <c r="E210" t="s">
        <v>14</v>
      </c>
      <c r="F210" t="s">
        <v>29</v>
      </c>
      <c r="G210">
        <v>1</v>
      </c>
      <c r="H210">
        <v>11000</v>
      </c>
      <c r="I210">
        <f t="shared" si="10"/>
        <v>11000</v>
      </c>
      <c r="J210" t="str">
        <f t="shared" si="11"/>
        <v>01</v>
      </c>
    </row>
    <row r="211" spans="1:10" x14ac:dyDescent="0.35">
      <c r="A211">
        <v>1210</v>
      </c>
      <c r="B211" s="1">
        <v>45677</v>
      </c>
      <c r="C211" t="s">
        <v>12</v>
      </c>
      <c r="D211" t="s">
        <v>17</v>
      </c>
      <c r="E211" t="s">
        <v>21</v>
      </c>
      <c r="F211" t="s">
        <v>30</v>
      </c>
      <c r="G211">
        <v>10</v>
      </c>
      <c r="H211">
        <v>2200</v>
      </c>
      <c r="I211">
        <f t="shared" si="10"/>
        <v>22000</v>
      </c>
      <c r="J211" t="str">
        <f t="shared" si="11"/>
        <v>01</v>
      </c>
    </row>
    <row r="212" spans="1:10" x14ac:dyDescent="0.35">
      <c r="A212">
        <v>1211</v>
      </c>
      <c r="B212" s="1">
        <v>45690</v>
      </c>
      <c r="C212" t="s">
        <v>16</v>
      </c>
      <c r="D212" t="s">
        <v>31</v>
      </c>
      <c r="E212" t="s">
        <v>10</v>
      </c>
      <c r="F212" t="s">
        <v>18</v>
      </c>
      <c r="G212">
        <v>2</v>
      </c>
      <c r="H212">
        <v>55000</v>
      </c>
      <c r="I212">
        <f t="shared" si="10"/>
        <v>110000</v>
      </c>
      <c r="J212" t="str">
        <f t="shared" si="11"/>
        <v>02</v>
      </c>
    </row>
    <row r="213" spans="1:10" x14ac:dyDescent="0.35">
      <c r="A213">
        <v>1212</v>
      </c>
      <c r="B213" s="1">
        <v>45692</v>
      </c>
      <c r="C213" t="s">
        <v>19</v>
      </c>
      <c r="D213" t="s">
        <v>13</v>
      </c>
      <c r="E213" t="s">
        <v>14</v>
      </c>
      <c r="F213" t="s">
        <v>15</v>
      </c>
      <c r="G213">
        <v>3</v>
      </c>
      <c r="H213">
        <v>3500</v>
      </c>
      <c r="I213">
        <f t="shared" si="10"/>
        <v>10500</v>
      </c>
      <c r="J213" t="str">
        <f t="shared" si="11"/>
        <v>02</v>
      </c>
    </row>
    <row r="214" spans="1:10" x14ac:dyDescent="0.35">
      <c r="A214">
        <v>1213</v>
      </c>
      <c r="B214" s="1">
        <v>45694</v>
      </c>
      <c r="C214" t="s">
        <v>8</v>
      </c>
      <c r="D214" t="s">
        <v>32</v>
      </c>
      <c r="E214" t="s">
        <v>21</v>
      </c>
      <c r="F214" t="s">
        <v>22</v>
      </c>
      <c r="G214">
        <v>2</v>
      </c>
      <c r="H214">
        <v>22000</v>
      </c>
      <c r="I214">
        <f t="shared" si="10"/>
        <v>44000</v>
      </c>
      <c r="J214" t="str">
        <f t="shared" si="11"/>
        <v>02</v>
      </c>
    </row>
    <row r="215" spans="1:10" x14ac:dyDescent="0.35">
      <c r="A215">
        <v>1214</v>
      </c>
      <c r="B215" s="1">
        <v>45696</v>
      </c>
      <c r="C215" t="s">
        <v>12</v>
      </c>
      <c r="D215" t="s">
        <v>20</v>
      </c>
      <c r="E215" t="s">
        <v>10</v>
      </c>
      <c r="F215" t="s">
        <v>11</v>
      </c>
      <c r="G215">
        <v>1</v>
      </c>
      <c r="H215">
        <v>2500</v>
      </c>
      <c r="I215">
        <f t="shared" si="10"/>
        <v>2500</v>
      </c>
      <c r="J215" t="str">
        <f t="shared" si="11"/>
        <v>02</v>
      </c>
    </row>
    <row r="216" spans="1:10" x14ac:dyDescent="0.35">
      <c r="A216">
        <v>1215</v>
      </c>
      <c r="B216" s="1">
        <v>45698</v>
      </c>
      <c r="C216" t="s">
        <v>16</v>
      </c>
      <c r="D216" t="s">
        <v>33</v>
      </c>
      <c r="E216" t="s">
        <v>14</v>
      </c>
      <c r="F216" t="s">
        <v>23</v>
      </c>
      <c r="G216">
        <v>1</v>
      </c>
      <c r="H216">
        <v>12000</v>
      </c>
      <c r="I216">
        <f t="shared" si="10"/>
        <v>12000</v>
      </c>
      <c r="J216" t="str">
        <f t="shared" si="11"/>
        <v>02</v>
      </c>
    </row>
    <row r="217" spans="1:10" x14ac:dyDescent="0.35">
      <c r="A217">
        <v>1216</v>
      </c>
      <c r="B217" s="1">
        <v>45700</v>
      </c>
      <c r="C217" t="s">
        <v>19</v>
      </c>
      <c r="D217" t="s">
        <v>9</v>
      </c>
      <c r="E217" t="s">
        <v>10</v>
      </c>
      <c r="F217" t="s">
        <v>25</v>
      </c>
      <c r="G217">
        <v>4</v>
      </c>
      <c r="H217">
        <v>2000</v>
      </c>
      <c r="I217">
        <f t="shared" si="10"/>
        <v>8000</v>
      </c>
      <c r="J217" t="str">
        <f t="shared" si="11"/>
        <v>02</v>
      </c>
    </row>
    <row r="218" spans="1:10" x14ac:dyDescent="0.35">
      <c r="A218">
        <v>1217</v>
      </c>
      <c r="B218" s="1">
        <v>45703</v>
      </c>
      <c r="C218" t="s">
        <v>8</v>
      </c>
      <c r="D218" t="s">
        <v>24</v>
      </c>
      <c r="E218" t="s">
        <v>21</v>
      </c>
      <c r="F218" t="s">
        <v>26</v>
      </c>
      <c r="G218">
        <v>2</v>
      </c>
      <c r="H218">
        <v>3000</v>
      </c>
      <c r="I218">
        <f t="shared" si="10"/>
        <v>6000</v>
      </c>
      <c r="J218" t="str">
        <f t="shared" si="11"/>
        <v>02</v>
      </c>
    </row>
    <row r="219" spans="1:10" x14ac:dyDescent="0.35">
      <c r="A219">
        <v>1218</v>
      </c>
      <c r="B219" s="1">
        <v>45706</v>
      </c>
      <c r="C219" t="s">
        <v>12</v>
      </c>
      <c r="D219" t="s">
        <v>27</v>
      </c>
      <c r="E219" t="s">
        <v>14</v>
      </c>
      <c r="F219" t="s">
        <v>29</v>
      </c>
      <c r="G219">
        <v>1</v>
      </c>
      <c r="H219">
        <v>60000</v>
      </c>
      <c r="I219">
        <f t="shared" si="10"/>
        <v>60000</v>
      </c>
      <c r="J219" t="str">
        <f t="shared" si="11"/>
        <v>02</v>
      </c>
    </row>
    <row r="220" spans="1:10" x14ac:dyDescent="0.35">
      <c r="A220">
        <v>1219</v>
      </c>
      <c r="B220" s="1">
        <v>45708</v>
      </c>
      <c r="C220" t="s">
        <v>16</v>
      </c>
      <c r="D220" t="s">
        <v>28</v>
      </c>
      <c r="E220" t="s">
        <v>10</v>
      </c>
      <c r="F220" t="s">
        <v>11</v>
      </c>
      <c r="G220">
        <v>1</v>
      </c>
      <c r="H220">
        <v>45000</v>
      </c>
      <c r="I220">
        <f t="shared" si="10"/>
        <v>45000</v>
      </c>
      <c r="J220" t="str">
        <f t="shared" si="11"/>
        <v>02</v>
      </c>
    </row>
    <row r="221" spans="1:10" x14ac:dyDescent="0.35">
      <c r="A221">
        <v>1220</v>
      </c>
      <c r="B221" s="1">
        <v>45710</v>
      </c>
      <c r="C221" t="s">
        <v>19</v>
      </c>
      <c r="D221" t="s">
        <v>31</v>
      </c>
      <c r="E221" t="s">
        <v>21</v>
      </c>
      <c r="F221" t="s">
        <v>30</v>
      </c>
      <c r="G221">
        <v>5</v>
      </c>
      <c r="H221">
        <v>800</v>
      </c>
      <c r="I221">
        <f t="shared" si="10"/>
        <v>4000</v>
      </c>
      <c r="J221" t="str">
        <f t="shared" si="11"/>
        <v>02</v>
      </c>
    </row>
    <row r="222" spans="1:10" x14ac:dyDescent="0.35">
      <c r="A222">
        <v>1221</v>
      </c>
      <c r="B222" s="1">
        <v>45660</v>
      </c>
      <c r="C222" t="s">
        <v>8</v>
      </c>
      <c r="D222" t="s">
        <v>9</v>
      </c>
      <c r="E222" t="s">
        <v>10</v>
      </c>
      <c r="F222" t="s">
        <v>11</v>
      </c>
      <c r="G222">
        <v>2</v>
      </c>
      <c r="H222">
        <v>21000</v>
      </c>
      <c r="I222">
        <f t="shared" si="10"/>
        <v>42000</v>
      </c>
      <c r="J222" t="str">
        <f t="shared" si="11"/>
        <v>01</v>
      </c>
    </row>
    <row r="223" spans="1:10" x14ac:dyDescent="0.35">
      <c r="A223">
        <v>1222</v>
      </c>
      <c r="B223" s="1">
        <v>45662</v>
      </c>
      <c r="C223" t="s">
        <v>12</v>
      </c>
      <c r="D223" t="s">
        <v>13</v>
      </c>
      <c r="E223" t="s">
        <v>14</v>
      </c>
      <c r="F223" t="s">
        <v>15</v>
      </c>
      <c r="G223">
        <v>5</v>
      </c>
      <c r="H223">
        <v>3500</v>
      </c>
      <c r="I223">
        <f t="shared" si="10"/>
        <v>17500</v>
      </c>
      <c r="J223" t="str">
        <f t="shared" si="11"/>
        <v>01</v>
      </c>
    </row>
    <row r="224" spans="1:10" x14ac:dyDescent="0.35">
      <c r="A224">
        <v>1223</v>
      </c>
      <c r="B224" s="1">
        <v>45663</v>
      </c>
      <c r="C224" t="s">
        <v>16</v>
      </c>
      <c r="D224" t="s">
        <v>17</v>
      </c>
      <c r="E224" t="s">
        <v>10</v>
      </c>
      <c r="F224" t="s">
        <v>18</v>
      </c>
      <c r="G224">
        <v>3</v>
      </c>
      <c r="H224">
        <v>2600</v>
      </c>
      <c r="I224">
        <f t="shared" si="10"/>
        <v>7800</v>
      </c>
      <c r="J224" t="str">
        <f t="shared" si="11"/>
        <v>01</v>
      </c>
    </row>
    <row r="225" spans="1:10" x14ac:dyDescent="0.35">
      <c r="A225">
        <v>1224</v>
      </c>
      <c r="B225" s="1">
        <v>45664</v>
      </c>
      <c r="C225" t="s">
        <v>19</v>
      </c>
      <c r="D225" t="s">
        <v>20</v>
      </c>
      <c r="E225" t="s">
        <v>21</v>
      </c>
      <c r="F225" t="s">
        <v>22</v>
      </c>
      <c r="G225">
        <v>4</v>
      </c>
      <c r="H225">
        <v>58000</v>
      </c>
      <c r="I225">
        <f t="shared" si="10"/>
        <v>232000</v>
      </c>
      <c r="J225" t="str">
        <f t="shared" si="11"/>
        <v>01</v>
      </c>
    </row>
    <row r="226" spans="1:10" x14ac:dyDescent="0.35">
      <c r="A226">
        <v>1225</v>
      </c>
      <c r="B226" s="1">
        <v>45667</v>
      </c>
      <c r="C226" t="s">
        <v>8</v>
      </c>
      <c r="D226" t="s">
        <v>13</v>
      </c>
      <c r="E226" t="s">
        <v>14</v>
      </c>
      <c r="F226" t="s">
        <v>23</v>
      </c>
      <c r="G226">
        <v>2</v>
      </c>
      <c r="H226">
        <v>11000</v>
      </c>
      <c r="I226">
        <f t="shared" si="10"/>
        <v>22000</v>
      </c>
      <c r="J226" t="str">
        <f t="shared" si="11"/>
        <v>01</v>
      </c>
    </row>
    <row r="227" spans="1:10" x14ac:dyDescent="0.35">
      <c r="A227">
        <v>1226</v>
      </c>
      <c r="B227" s="1">
        <v>45668</v>
      </c>
      <c r="C227" t="s">
        <v>12</v>
      </c>
      <c r="D227" t="s">
        <v>24</v>
      </c>
      <c r="E227" t="s">
        <v>10</v>
      </c>
      <c r="F227" t="s">
        <v>25</v>
      </c>
      <c r="G227">
        <v>6</v>
      </c>
      <c r="H227">
        <v>2200</v>
      </c>
      <c r="I227">
        <f t="shared" si="10"/>
        <v>13200</v>
      </c>
      <c r="J227" t="str">
        <f t="shared" si="11"/>
        <v>01</v>
      </c>
    </row>
    <row r="228" spans="1:10" x14ac:dyDescent="0.35">
      <c r="A228">
        <v>1227</v>
      </c>
      <c r="B228" s="1">
        <v>45670</v>
      </c>
      <c r="C228" t="s">
        <v>16</v>
      </c>
      <c r="D228" t="s">
        <v>9</v>
      </c>
      <c r="E228" t="s">
        <v>21</v>
      </c>
      <c r="F228" t="s">
        <v>26</v>
      </c>
      <c r="G228">
        <v>3</v>
      </c>
      <c r="H228">
        <v>3200</v>
      </c>
      <c r="I228">
        <f t="shared" si="10"/>
        <v>9600</v>
      </c>
      <c r="J228" t="str">
        <f t="shared" si="11"/>
        <v>01</v>
      </c>
    </row>
    <row r="229" spans="1:10" x14ac:dyDescent="0.35">
      <c r="A229">
        <v>1228</v>
      </c>
      <c r="B229" s="1">
        <v>45672</v>
      </c>
      <c r="C229" t="s">
        <v>19</v>
      </c>
      <c r="D229" t="s">
        <v>27</v>
      </c>
      <c r="E229" t="s">
        <v>10</v>
      </c>
      <c r="F229" t="s">
        <v>11</v>
      </c>
      <c r="G229">
        <v>1</v>
      </c>
      <c r="H229">
        <v>47000</v>
      </c>
      <c r="I229">
        <f t="shared" si="10"/>
        <v>47000</v>
      </c>
      <c r="J229" t="str">
        <f t="shared" si="11"/>
        <v>01</v>
      </c>
    </row>
    <row r="230" spans="1:10" x14ac:dyDescent="0.35">
      <c r="A230">
        <v>1229</v>
      </c>
      <c r="B230" s="1">
        <v>45675</v>
      </c>
      <c r="C230" t="s">
        <v>8</v>
      </c>
      <c r="D230" t="s">
        <v>28</v>
      </c>
      <c r="E230" t="s">
        <v>14</v>
      </c>
      <c r="F230" t="s">
        <v>29</v>
      </c>
      <c r="G230">
        <v>1</v>
      </c>
      <c r="H230">
        <v>59000</v>
      </c>
      <c r="I230">
        <f t="shared" si="10"/>
        <v>59000</v>
      </c>
      <c r="J230" t="str">
        <f t="shared" si="11"/>
        <v>01</v>
      </c>
    </row>
    <row r="231" spans="1:10" x14ac:dyDescent="0.35">
      <c r="A231">
        <v>1230</v>
      </c>
      <c r="B231" s="1">
        <v>45677</v>
      </c>
      <c r="C231" t="s">
        <v>12</v>
      </c>
      <c r="D231" t="s">
        <v>17</v>
      </c>
      <c r="E231" t="s">
        <v>21</v>
      </c>
      <c r="F231" t="s">
        <v>30</v>
      </c>
      <c r="G231">
        <v>10</v>
      </c>
      <c r="H231">
        <v>850</v>
      </c>
      <c r="I231">
        <f t="shared" si="10"/>
        <v>8500</v>
      </c>
      <c r="J231" t="str">
        <f t="shared" si="11"/>
        <v>01</v>
      </c>
    </row>
    <row r="232" spans="1:10" x14ac:dyDescent="0.35">
      <c r="A232">
        <v>1231</v>
      </c>
      <c r="B232" s="1">
        <v>45690</v>
      </c>
      <c r="C232" t="s">
        <v>16</v>
      </c>
      <c r="D232" t="s">
        <v>31</v>
      </c>
      <c r="E232" t="s">
        <v>10</v>
      </c>
      <c r="F232" t="s">
        <v>18</v>
      </c>
      <c r="G232">
        <v>2</v>
      </c>
      <c r="H232">
        <v>3500</v>
      </c>
      <c r="I232">
        <f t="shared" si="10"/>
        <v>7000</v>
      </c>
      <c r="J232" t="str">
        <f t="shared" si="11"/>
        <v>02</v>
      </c>
    </row>
    <row r="233" spans="1:10" x14ac:dyDescent="0.35">
      <c r="A233">
        <v>1232</v>
      </c>
      <c r="B233" s="1">
        <v>45692</v>
      </c>
      <c r="C233" t="s">
        <v>19</v>
      </c>
      <c r="D233" t="s">
        <v>13</v>
      </c>
      <c r="E233" t="s">
        <v>14</v>
      </c>
      <c r="F233" t="s">
        <v>15</v>
      </c>
      <c r="G233">
        <v>3</v>
      </c>
      <c r="H233">
        <v>2600</v>
      </c>
      <c r="I233">
        <f t="shared" si="10"/>
        <v>7800</v>
      </c>
      <c r="J233" t="str">
        <f t="shared" si="11"/>
        <v>02</v>
      </c>
    </row>
    <row r="234" spans="1:10" x14ac:dyDescent="0.35">
      <c r="A234">
        <v>1233</v>
      </c>
      <c r="B234" s="1">
        <v>45694</v>
      </c>
      <c r="C234" t="s">
        <v>8</v>
      </c>
      <c r="D234" t="s">
        <v>32</v>
      </c>
      <c r="E234" t="s">
        <v>21</v>
      </c>
      <c r="F234" t="s">
        <v>22</v>
      </c>
      <c r="G234">
        <v>2</v>
      </c>
      <c r="H234">
        <v>58000</v>
      </c>
      <c r="I234">
        <f t="shared" si="10"/>
        <v>116000</v>
      </c>
      <c r="J234" t="str">
        <f t="shared" si="11"/>
        <v>02</v>
      </c>
    </row>
    <row r="235" spans="1:10" x14ac:dyDescent="0.35">
      <c r="A235">
        <v>1234</v>
      </c>
      <c r="B235" s="1">
        <v>45696</v>
      </c>
      <c r="C235" t="s">
        <v>12</v>
      </c>
      <c r="D235" t="s">
        <v>20</v>
      </c>
      <c r="E235" t="s">
        <v>10</v>
      </c>
      <c r="F235" t="s">
        <v>11</v>
      </c>
      <c r="G235">
        <v>1</v>
      </c>
      <c r="H235">
        <v>11000</v>
      </c>
      <c r="I235">
        <f t="shared" si="10"/>
        <v>11000</v>
      </c>
      <c r="J235" t="str">
        <f t="shared" si="11"/>
        <v>02</v>
      </c>
    </row>
    <row r="236" spans="1:10" x14ac:dyDescent="0.35">
      <c r="A236">
        <v>1235</v>
      </c>
      <c r="B236" s="1">
        <v>45698</v>
      </c>
      <c r="C236" t="s">
        <v>16</v>
      </c>
      <c r="D236" t="s">
        <v>33</v>
      </c>
      <c r="E236" t="s">
        <v>14</v>
      </c>
      <c r="F236" t="s">
        <v>23</v>
      </c>
      <c r="G236">
        <v>1</v>
      </c>
      <c r="H236">
        <v>2200</v>
      </c>
      <c r="I236">
        <f t="shared" si="10"/>
        <v>2200</v>
      </c>
      <c r="J236" t="str">
        <f t="shared" si="11"/>
        <v>02</v>
      </c>
    </row>
    <row r="237" spans="1:10" x14ac:dyDescent="0.35">
      <c r="A237">
        <v>1236</v>
      </c>
      <c r="B237" s="1">
        <v>45700</v>
      </c>
      <c r="C237" t="s">
        <v>19</v>
      </c>
      <c r="D237" t="s">
        <v>9</v>
      </c>
      <c r="E237" t="s">
        <v>10</v>
      </c>
      <c r="F237" t="s">
        <v>25</v>
      </c>
      <c r="G237">
        <v>4</v>
      </c>
      <c r="H237">
        <v>3200</v>
      </c>
      <c r="I237">
        <f t="shared" si="10"/>
        <v>12800</v>
      </c>
      <c r="J237" t="str">
        <f t="shared" si="11"/>
        <v>02</v>
      </c>
    </row>
    <row r="238" spans="1:10" x14ac:dyDescent="0.35">
      <c r="A238">
        <v>1237</v>
      </c>
      <c r="B238" s="1">
        <v>45703</v>
      </c>
      <c r="C238" t="s">
        <v>8</v>
      </c>
      <c r="D238" t="s">
        <v>24</v>
      </c>
      <c r="E238" t="s">
        <v>21</v>
      </c>
      <c r="F238" t="s">
        <v>26</v>
      </c>
      <c r="G238">
        <v>2</v>
      </c>
      <c r="H238">
        <v>47000</v>
      </c>
      <c r="I238">
        <f t="shared" si="10"/>
        <v>94000</v>
      </c>
      <c r="J238" t="str">
        <f t="shared" si="11"/>
        <v>02</v>
      </c>
    </row>
    <row r="239" spans="1:10" x14ac:dyDescent="0.35">
      <c r="A239">
        <v>1238</v>
      </c>
      <c r="B239" s="1">
        <v>45706</v>
      </c>
      <c r="C239" t="s">
        <v>12</v>
      </c>
      <c r="D239" t="s">
        <v>27</v>
      </c>
      <c r="E239" t="s">
        <v>14</v>
      </c>
      <c r="F239" t="s">
        <v>29</v>
      </c>
      <c r="G239">
        <v>1</v>
      </c>
      <c r="H239">
        <v>59000</v>
      </c>
      <c r="I239">
        <f t="shared" si="10"/>
        <v>59000</v>
      </c>
      <c r="J239" t="str">
        <f t="shared" si="11"/>
        <v>02</v>
      </c>
    </row>
    <row r="240" spans="1:10" x14ac:dyDescent="0.35">
      <c r="A240">
        <v>1239</v>
      </c>
      <c r="B240" s="1">
        <v>45708</v>
      </c>
      <c r="C240" t="s">
        <v>16</v>
      </c>
      <c r="D240" t="s">
        <v>28</v>
      </c>
      <c r="E240" t="s">
        <v>10</v>
      </c>
      <c r="F240" t="s">
        <v>11</v>
      </c>
      <c r="G240">
        <v>1</v>
      </c>
      <c r="H240">
        <v>850</v>
      </c>
      <c r="I240">
        <f t="shared" si="10"/>
        <v>850</v>
      </c>
      <c r="J240" t="str">
        <f t="shared" si="11"/>
        <v>02</v>
      </c>
    </row>
    <row r="241" spans="1:10" x14ac:dyDescent="0.35">
      <c r="A241">
        <v>1240</v>
      </c>
      <c r="B241" s="1">
        <v>45710</v>
      </c>
      <c r="C241" t="s">
        <v>19</v>
      </c>
      <c r="D241" t="s">
        <v>31</v>
      </c>
      <c r="E241" t="s">
        <v>21</v>
      </c>
      <c r="F241" t="s">
        <v>30</v>
      </c>
      <c r="G241">
        <v>5</v>
      </c>
      <c r="H241">
        <v>2500</v>
      </c>
      <c r="I241">
        <f t="shared" si="10"/>
        <v>12500</v>
      </c>
      <c r="J241" t="str">
        <f t="shared" si="11"/>
        <v>02</v>
      </c>
    </row>
    <row r="242" spans="1:10" x14ac:dyDescent="0.35">
      <c r="A242">
        <v>1241</v>
      </c>
      <c r="B242" s="1">
        <v>45660</v>
      </c>
      <c r="C242" t="s">
        <v>8</v>
      </c>
      <c r="D242" t="s">
        <v>9</v>
      </c>
      <c r="E242" t="s">
        <v>10</v>
      </c>
      <c r="F242" t="s">
        <v>11</v>
      </c>
      <c r="G242">
        <v>2</v>
      </c>
      <c r="H242">
        <v>12000</v>
      </c>
      <c r="I242">
        <f t="shared" si="10"/>
        <v>24000</v>
      </c>
      <c r="J242" t="str">
        <f t="shared" si="11"/>
        <v>01</v>
      </c>
    </row>
    <row r="243" spans="1:10" x14ac:dyDescent="0.35">
      <c r="A243">
        <v>1242</v>
      </c>
      <c r="B243" s="1">
        <v>45662</v>
      </c>
      <c r="C243" t="s">
        <v>12</v>
      </c>
      <c r="D243" t="s">
        <v>13</v>
      </c>
      <c r="E243" t="s">
        <v>14</v>
      </c>
      <c r="F243" t="s">
        <v>15</v>
      </c>
      <c r="G243">
        <v>5</v>
      </c>
      <c r="H243">
        <v>2000</v>
      </c>
      <c r="I243">
        <f t="shared" si="10"/>
        <v>10000</v>
      </c>
      <c r="J243" t="str">
        <f t="shared" si="11"/>
        <v>01</v>
      </c>
    </row>
    <row r="244" spans="1:10" x14ac:dyDescent="0.35">
      <c r="A244">
        <v>1243</v>
      </c>
      <c r="B244" s="1">
        <v>45663</v>
      </c>
      <c r="C244" t="s">
        <v>16</v>
      </c>
      <c r="D244" t="s">
        <v>17</v>
      </c>
      <c r="E244" t="s">
        <v>10</v>
      </c>
      <c r="F244" t="s">
        <v>18</v>
      </c>
      <c r="G244">
        <v>3</v>
      </c>
      <c r="H244">
        <v>3000</v>
      </c>
      <c r="I244">
        <f t="shared" si="10"/>
        <v>9000</v>
      </c>
      <c r="J244" t="str">
        <f t="shared" si="11"/>
        <v>01</v>
      </c>
    </row>
    <row r="245" spans="1:10" x14ac:dyDescent="0.35">
      <c r="A245">
        <v>1244</v>
      </c>
      <c r="B245" s="1">
        <v>45664</v>
      </c>
      <c r="C245" t="s">
        <v>19</v>
      </c>
      <c r="D245" t="s">
        <v>20</v>
      </c>
      <c r="E245" t="s">
        <v>21</v>
      </c>
      <c r="F245" t="s">
        <v>22</v>
      </c>
      <c r="G245">
        <v>4</v>
      </c>
      <c r="H245">
        <v>60000</v>
      </c>
      <c r="I245">
        <f t="shared" si="10"/>
        <v>240000</v>
      </c>
      <c r="J245" t="str">
        <f t="shared" si="11"/>
        <v>01</v>
      </c>
    </row>
    <row r="246" spans="1:10" x14ac:dyDescent="0.35">
      <c r="A246">
        <v>1245</v>
      </c>
      <c r="B246" s="1">
        <v>45667</v>
      </c>
      <c r="C246" t="s">
        <v>8</v>
      </c>
      <c r="D246" t="s">
        <v>13</v>
      </c>
      <c r="E246" t="s">
        <v>14</v>
      </c>
      <c r="F246" t="s">
        <v>23</v>
      </c>
      <c r="G246">
        <v>2</v>
      </c>
      <c r="H246">
        <v>45000</v>
      </c>
      <c r="I246">
        <f t="shared" si="10"/>
        <v>90000</v>
      </c>
      <c r="J246" t="str">
        <f t="shared" si="11"/>
        <v>01</v>
      </c>
    </row>
    <row r="247" spans="1:10" x14ac:dyDescent="0.35">
      <c r="A247">
        <v>1246</v>
      </c>
      <c r="B247" s="1">
        <v>45668</v>
      </c>
      <c r="C247" t="s">
        <v>12</v>
      </c>
      <c r="D247" t="s">
        <v>24</v>
      </c>
      <c r="E247" t="s">
        <v>10</v>
      </c>
      <c r="F247" t="s">
        <v>25</v>
      </c>
      <c r="G247">
        <v>6</v>
      </c>
      <c r="H247">
        <v>800</v>
      </c>
      <c r="I247">
        <f t="shared" si="10"/>
        <v>4800</v>
      </c>
      <c r="J247" t="str">
        <f t="shared" si="11"/>
        <v>01</v>
      </c>
    </row>
    <row r="248" spans="1:10" x14ac:dyDescent="0.35">
      <c r="A248">
        <v>1247</v>
      </c>
      <c r="B248" s="1">
        <v>45670</v>
      </c>
      <c r="C248" t="s">
        <v>16</v>
      </c>
      <c r="D248" t="s">
        <v>9</v>
      </c>
      <c r="E248" t="s">
        <v>21</v>
      </c>
      <c r="F248" t="s">
        <v>26</v>
      </c>
      <c r="G248">
        <v>3</v>
      </c>
      <c r="H248">
        <v>21000</v>
      </c>
      <c r="I248">
        <f t="shared" si="10"/>
        <v>63000</v>
      </c>
      <c r="J248" t="str">
        <f t="shared" si="11"/>
        <v>01</v>
      </c>
    </row>
    <row r="249" spans="1:10" x14ac:dyDescent="0.35">
      <c r="A249">
        <v>1248</v>
      </c>
      <c r="B249" s="1">
        <v>45672</v>
      </c>
      <c r="C249" t="s">
        <v>19</v>
      </c>
      <c r="D249" t="s">
        <v>27</v>
      </c>
      <c r="E249" t="s">
        <v>10</v>
      </c>
      <c r="F249" t="s">
        <v>11</v>
      </c>
      <c r="G249">
        <v>1</v>
      </c>
      <c r="H249">
        <v>3500</v>
      </c>
      <c r="I249">
        <f t="shared" si="10"/>
        <v>3500</v>
      </c>
      <c r="J249" t="str">
        <f t="shared" si="11"/>
        <v>01</v>
      </c>
    </row>
    <row r="250" spans="1:10" x14ac:dyDescent="0.35">
      <c r="A250">
        <v>1249</v>
      </c>
      <c r="B250" s="1">
        <v>45675</v>
      </c>
      <c r="C250" t="s">
        <v>8</v>
      </c>
      <c r="D250" t="s">
        <v>28</v>
      </c>
      <c r="E250" t="s">
        <v>14</v>
      </c>
      <c r="F250" t="s">
        <v>29</v>
      </c>
      <c r="G250">
        <v>1</v>
      </c>
      <c r="H250">
        <v>2600</v>
      </c>
      <c r="I250">
        <f t="shared" si="10"/>
        <v>2600</v>
      </c>
      <c r="J250" t="str">
        <f t="shared" si="11"/>
        <v>01</v>
      </c>
    </row>
    <row r="251" spans="1:10" x14ac:dyDescent="0.35">
      <c r="A251">
        <v>1250</v>
      </c>
      <c r="B251" s="1">
        <v>45677</v>
      </c>
      <c r="C251" t="s">
        <v>12</v>
      </c>
      <c r="D251" t="s">
        <v>17</v>
      </c>
      <c r="E251" t="s">
        <v>21</v>
      </c>
      <c r="F251" t="s">
        <v>30</v>
      </c>
      <c r="G251">
        <v>10</v>
      </c>
      <c r="H251">
        <v>58000</v>
      </c>
      <c r="I251">
        <f t="shared" si="10"/>
        <v>580000</v>
      </c>
      <c r="J251" t="str">
        <f t="shared" si="11"/>
        <v>01</v>
      </c>
    </row>
    <row r="252" spans="1:10" x14ac:dyDescent="0.35">
      <c r="A252">
        <v>1251</v>
      </c>
      <c r="B252" s="1">
        <v>45690</v>
      </c>
      <c r="C252" t="s">
        <v>16</v>
      </c>
      <c r="D252" t="s">
        <v>31</v>
      </c>
      <c r="E252" t="s">
        <v>10</v>
      </c>
      <c r="F252" t="s">
        <v>18</v>
      </c>
      <c r="G252">
        <v>2</v>
      </c>
      <c r="H252">
        <v>11000</v>
      </c>
      <c r="I252">
        <f t="shared" si="10"/>
        <v>22000</v>
      </c>
      <c r="J252" t="str">
        <f t="shared" si="11"/>
        <v>02</v>
      </c>
    </row>
    <row r="253" spans="1:10" x14ac:dyDescent="0.35">
      <c r="A253">
        <v>1252</v>
      </c>
      <c r="B253" s="1">
        <v>45692</v>
      </c>
      <c r="C253" t="s">
        <v>19</v>
      </c>
      <c r="D253" t="s">
        <v>13</v>
      </c>
      <c r="E253" t="s">
        <v>14</v>
      </c>
      <c r="F253" t="s">
        <v>15</v>
      </c>
      <c r="G253">
        <v>3</v>
      </c>
      <c r="H253">
        <v>2200</v>
      </c>
      <c r="I253">
        <f t="shared" si="10"/>
        <v>6600</v>
      </c>
      <c r="J253" t="str">
        <f t="shared" si="11"/>
        <v>02</v>
      </c>
    </row>
    <row r="254" spans="1:10" x14ac:dyDescent="0.35">
      <c r="A254">
        <v>1253</v>
      </c>
      <c r="B254" s="1">
        <v>45694</v>
      </c>
      <c r="C254" t="s">
        <v>8</v>
      </c>
      <c r="D254" t="s">
        <v>32</v>
      </c>
      <c r="E254" t="s">
        <v>21</v>
      </c>
      <c r="F254" t="s">
        <v>22</v>
      </c>
      <c r="G254">
        <v>2</v>
      </c>
      <c r="H254">
        <v>55000</v>
      </c>
      <c r="I254">
        <f t="shared" si="10"/>
        <v>110000</v>
      </c>
      <c r="J254" t="str">
        <f t="shared" si="11"/>
        <v>02</v>
      </c>
    </row>
    <row r="255" spans="1:10" x14ac:dyDescent="0.35">
      <c r="A255">
        <v>1254</v>
      </c>
      <c r="B255" s="1">
        <v>45696</v>
      </c>
      <c r="C255" t="s">
        <v>12</v>
      </c>
      <c r="D255" t="s">
        <v>20</v>
      </c>
      <c r="E255" t="s">
        <v>10</v>
      </c>
      <c r="F255" t="s">
        <v>11</v>
      </c>
      <c r="G255">
        <v>1</v>
      </c>
      <c r="H255">
        <v>3500</v>
      </c>
      <c r="I255">
        <f t="shared" si="10"/>
        <v>3500</v>
      </c>
      <c r="J255" t="str">
        <f t="shared" si="11"/>
        <v>02</v>
      </c>
    </row>
    <row r="256" spans="1:10" x14ac:dyDescent="0.35">
      <c r="A256">
        <v>1255</v>
      </c>
      <c r="B256" s="1">
        <v>45698</v>
      </c>
      <c r="C256" t="s">
        <v>16</v>
      </c>
      <c r="D256" t="s">
        <v>33</v>
      </c>
      <c r="E256" t="s">
        <v>14</v>
      </c>
      <c r="F256" t="s">
        <v>23</v>
      </c>
      <c r="G256">
        <v>1</v>
      </c>
      <c r="H256">
        <v>22000</v>
      </c>
      <c r="I256">
        <f t="shared" si="10"/>
        <v>22000</v>
      </c>
      <c r="J256" t="str">
        <f t="shared" si="11"/>
        <v>02</v>
      </c>
    </row>
    <row r="257" spans="1:10" x14ac:dyDescent="0.35">
      <c r="A257">
        <v>1256</v>
      </c>
      <c r="B257" s="1">
        <v>45700</v>
      </c>
      <c r="C257" t="s">
        <v>19</v>
      </c>
      <c r="D257" t="s">
        <v>9</v>
      </c>
      <c r="E257" t="s">
        <v>10</v>
      </c>
      <c r="F257" t="s">
        <v>25</v>
      </c>
      <c r="G257">
        <v>4</v>
      </c>
      <c r="H257">
        <v>2500</v>
      </c>
      <c r="I257">
        <f t="shared" si="10"/>
        <v>10000</v>
      </c>
      <c r="J257" t="str">
        <f t="shared" si="11"/>
        <v>02</v>
      </c>
    </row>
    <row r="258" spans="1:10" x14ac:dyDescent="0.35">
      <c r="A258">
        <v>1257</v>
      </c>
      <c r="B258" s="1">
        <v>45703</v>
      </c>
      <c r="C258" t="s">
        <v>8</v>
      </c>
      <c r="D258" t="s">
        <v>24</v>
      </c>
      <c r="E258" t="s">
        <v>21</v>
      </c>
      <c r="F258" t="s">
        <v>26</v>
      </c>
      <c r="G258">
        <v>2</v>
      </c>
      <c r="H258">
        <v>12000</v>
      </c>
      <c r="I258">
        <f t="shared" si="10"/>
        <v>24000</v>
      </c>
      <c r="J258" t="str">
        <f t="shared" si="11"/>
        <v>02</v>
      </c>
    </row>
    <row r="259" spans="1:10" x14ac:dyDescent="0.35">
      <c r="A259">
        <v>1258</v>
      </c>
      <c r="B259" s="1">
        <v>45706</v>
      </c>
      <c r="C259" t="s">
        <v>12</v>
      </c>
      <c r="D259" t="s">
        <v>27</v>
      </c>
      <c r="E259" t="s">
        <v>14</v>
      </c>
      <c r="F259" t="s">
        <v>29</v>
      </c>
      <c r="G259">
        <v>1</v>
      </c>
      <c r="H259">
        <v>2000</v>
      </c>
      <c r="I259">
        <f t="shared" ref="I259:I322" si="12">H259*G259</f>
        <v>2000</v>
      </c>
      <c r="J259" t="str">
        <f t="shared" ref="J259:J322" si="13">TEXT(B259,"MM")</f>
        <v>02</v>
      </c>
    </row>
    <row r="260" spans="1:10" x14ac:dyDescent="0.35">
      <c r="A260">
        <v>1259</v>
      </c>
      <c r="B260" s="1">
        <v>45708</v>
      </c>
      <c r="C260" t="s">
        <v>16</v>
      </c>
      <c r="D260" t="s">
        <v>28</v>
      </c>
      <c r="E260" t="s">
        <v>10</v>
      </c>
      <c r="F260" t="s">
        <v>11</v>
      </c>
      <c r="G260">
        <v>1</v>
      </c>
      <c r="H260">
        <v>3000</v>
      </c>
      <c r="I260">
        <f t="shared" si="12"/>
        <v>3000</v>
      </c>
      <c r="J260" t="str">
        <f t="shared" si="13"/>
        <v>02</v>
      </c>
    </row>
    <row r="261" spans="1:10" x14ac:dyDescent="0.35">
      <c r="A261">
        <v>1260</v>
      </c>
      <c r="B261" s="1">
        <v>45710</v>
      </c>
      <c r="C261" t="s">
        <v>19</v>
      </c>
      <c r="D261" t="s">
        <v>31</v>
      </c>
      <c r="E261" t="s">
        <v>21</v>
      </c>
      <c r="F261" t="s">
        <v>30</v>
      </c>
      <c r="G261">
        <v>5</v>
      </c>
      <c r="H261">
        <v>60000</v>
      </c>
      <c r="I261">
        <f t="shared" si="12"/>
        <v>300000</v>
      </c>
      <c r="J261" t="str">
        <f t="shared" si="13"/>
        <v>02</v>
      </c>
    </row>
    <row r="262" spans="1:10" x14ac:dyDescent="0.35">
      <c r="A262">
        <v>1261</v>
      </c>
      <c r="B262" s="1">
        <v>45660</v>
      </c>
      <c r="C262" t="s">
        <v>8</v>
      </c>
      <c r="D262" t="s">
        <v>9</v>
      </c>
      <c r="E262" t="s">
        <v>10</v>
      </c>
      <c r="F262" t="s">
        <v>11</v>
      </c>
      <c r="G262">
        <v>2</v>
      </c>
      <c r="H262">
        <v>45000</v>
      </c>
      <c r="I262">
        <f t="shared" si="12"/>
        <v>90000</v>
      </c>
      <c r="J262" t="str">
        <f t="shared" si="13"/>
        <v>01</v>
      </c>
    </row>
    <row r="263" spans="1:10" x14ac:dyDescent="0.35">
      <c r="A263">
        <v>1262</v>
      </c>
      <c r="B263" s="1">
        <v>45662</v>
      </c>
      <c r="C263" t="s">
        <v>12</v>
      </c>
      <c r="D263" t="s">
        <v>13</v>
      </c>
      <c r="E263" t="s">
        <v>14</v>
      </c>
      <c r="F263" t="s">
        <v>15</v>
      </c>
      <c r="G263">
        <v>5</v>
      </c>
      <c r="H263">
        <v>800</v>
      </c>
      <c r="I263">
        <f t="shared" si="12"/>
        <v>4000</v>
      </c>
      <c r="J263" t="str">
        <f t="shared" si="13"/>
        <v>01</v>
      </c>
    </row>
    <row r="264" spans="1:10" x14ac:dyDescent="0.35">
      <c r="A264">
        <v>1263</v>
      </c>
      <c r="B264" s="1">
        <v>45663</v>
      </c>
      <c r="C264" t="s">
        <v>16</v>
      </c>
      <c r="D264" t="s">
        <v>17</v>
      </c>
      <c r="E264" t="s">
        <v>10</v>
      </c>
      <c r="F264" t="s">
        <v>18</v>
      </c>
      <c r="G264">
        <v>3</v>
      </c>
      <c r="H264">
        <v>21000</v>
      </c>
      <c r="I264">
        <f t="shared" si="12"/>
        <v>63000</v>
      </c>
      <c r="J264" t="str">
        <f t="shared" si="13"/>
        <v>01</v>
      </c>
    </row>
    <row r="265" spans="1:10" x14ac:dyDescent="0.35">
      <c r="A265">
        <v>1264</v>
      </c>
      <c r="B265" s="1">
        <v>45664</v>
      </c>
      <c r="C265" t="s">
        <v>19</v>
      </c>
      <c r="D265" t="s">
        <v>20</v>
      </c>
      <c r="E265" t="s">
        <v>21</v>
      </c>
      <c r="F265" t="s">
        <v>22</v>
      </c>
      <c r="G265">
        <v>4</v>
      </c>
      <c r="H265">
        <v>3500</v>
      </c>
      <c r="I265">
        <f t="shared" si="12"/>
        <v>14000</v>
      </c>
      <c r="J265" t="str">
        <f t="shared" si="13"/>
        <v>01</v>
      </c>
    </row>
    <row r="266" spans="1:10" x14ac:dyDescent="0.35">
      <c r="A266">
        <v>1265</v>
      </c>
      <c r="B266" s="1">
        <v>45667</v>
      </c>
      <c r="C266" t="s">
        <v>8</v>
      </c>
      <c r="D266" t="s">
        <v>13</v>
      </c>
      <c r="E266" t="s">
        <v>14</v>
      </c>
      <c r="F266" t="s">
        <v>23</v>
      </c>
      <c r="G266">
        <v>2</v>
      </c>
      <c r="H266">
        <v>2600</v>
      </c>
      <c r="I266">
        <f t="shared" si="12"/>
        <v>5200</v>
      </c>
      <c r="J266" t="str">
        <f t="shared" si="13"/>
        <v>01</v>
      </c>
    </row>
    <row r="267" spans="1:10" x14ac:dyDescent="0.35">
      <c r="A267">
        <v>1266</v>
      </c>
      <c r="B267" s="1">
        <v>45668</v>
      </c>
      <c r="C267" t="s">
        <v>12</v>
      </c>
      <c r="D267" t="s">
        <v>24</v>
      </c>
      <c r="E267" t="s">
        <v>10</v>
      </c>
      <c r="F267" t="s">
        <v>25</v>
      </c>
      <c r="G267">
        <v>6</v>
      </c>
      <c r="H267">
        <v>58000</v>
      </c>
      <c r="I267">
        <f t="shared" si="12"/>
        <v>348000</v>
      </c>
      <c r="J267" t="str">
        <f t="shared" si="13"/>
        <v>01</v>
      </c>
    </row>
    <row r="268" spans="1:10" x14ac:dyDescent="0.35">
      <c r="A268">
        <v>1267</v>
      </c>
      <c r="B268" s="1">
        <v>45670</v>
      </c>
      <c r="C268" t="s">
        <v>16</v>
      </c>
      <c r="D268" t="s">
        <v>9</v>
      </c>
      <c r="E268" t="s">
        <v>21</v>
      </c>
      <c r="F268" t="s">
        <v>26</v>
      </c>
      <c r="G268">
        <v>3</v>
      </c>
      <c r="H268">
        <v>11000</v>
      </c>
      <c r="I268">
        <f t="shared" si="12"/>
        <v>33000</v>
      </c>
      <c r="J268" t="str">
        <f t="shared" si="13"/>
        <v>01</v>
      </c>
    </row>
    <row r="269" spans="1:10" x14ac:dyDescent="0.35">
      <c r="A269">
        <v>1268</v>
      </c>
      <c r="B269" s="1">
        <v>45672</v>
      </c>
      <c r="C269" t="s">
        <v>19</v>
      </c>
      <c r="D269" t="s">
        <v>27</v>
      </c>
      <c r="E269" t="s">
        <v>10</v>
      </c>
      <c r="F269" t="s">
        <v>11</v>
      </c>
      <c r="G269">
        <v>1</v>
      </c>
      <c r="H269">
        <v>2200</v>
      </c>
      <c r="I269">
        <f t="shared" si="12"/>
        <v>2200</v>
      </c>
      <c r="J269" t="str">
        <f t="shared" si="13"/>
        <v>01</v>
      </c>
    </row>
    <row r="270" spans="1:10" x14ac:dyDescent="0.35">
      <c r="A270">
        <v>1269</v>
      </c>
      <c r="B270" s="1">
        <v>45675</v>
      </c>
      <c r="C270" t="s">
        <v>8</v>
      </c>
      <c r="D270" t="s">
        <v>28</v>
      </c>
      <c r="E270" t="s">
        <v>14</v>
      </c>
      <c r="F270" t="s">
        <v>29</v>
      </c>
      <c r="G270">
        <v>1</v>
      </c>
      <c r="H270">
        <v>3200</v>
      </c>
      <c r="I270">
        <f t="shared" si="12"/>
        <v>3200</v>
      </c>
      <c r="J270" t="str">
        <f t="shared" si="13"/>
        <v>01</v>
      </c>
    </row>
    <row r="271" spans="1:10" x14ac:dyDescent="0.35">
      <c r="A271">
        <v>1270</v>
      </c>
      <c r="B271" s="1">
        <v>45677</v>
      </c>
      <c r="C271" t="s">
        <v>12</v>
      </c>
      <c r="D271" t="s">
        <v>17</v>
      </c>
      <c r="E271" t="s">
        <v>21</v>
      </c>
      <c r="F271" t="s">
        <v>30</v>
      </c>
      <c r="G271">
        <v>10</v>
      </c>
      <c r="H271">
        <v>47000</v>
      </c>
      <c r="I271">
        <f t="shared" si="12"/>
        <v>470000</v>
      </c>
      <c r="J271" t="str">
        <f t="shared" si="13"/>
        <v>01</v>
      </c>
    </row>
    <row r="272" spans="1:10" x14ac:dyDescent="0.35">
      <c r="A272">
        <v>1271</v>
      </c>
      <c r="B272" s="1">
        <v>45690</v>
      </c>
      <c r="C272" t="s">
        <v>16</v>
      </c>
      <c r="D272" t="s">
        <v>31</v>
      </c>
      <c r="E272" t="s">
        <v>10</v>
      </c>
      <c r="F272" t="s">
        <v>18</v>
      </c>
      <c r="G272">
        <v>2</v>
      </c>
      <c r="H272">
        <v>59000</v>
      </c>
      <c r="I272">
        <f t="shared" si="12"/>
        <v>118000</v>
      </c>
      <c r="J272" t="str">
        <f t="shared" si="13"/>
        <v>02</v>
      </c>
    </row>
    <row r="273" spans="1:10" x14ac:dyDescent="0.35">
      <c r="A273">
        <v>1272</v>
      </c>
      <c r="B273" s="1">
        <v>45692</v>
      </c>
      <c r="C273" t="s">
        <v>19</v>
      </c>
      <c r="D273" t="s">
        <v>13</v>
      </c>
      <c r="E273" t="s">
        <v>14</v>
      </c>
      <c r="F273" t="s">
        <v>15</v>
      </c>
      <c r="G273">
        <v>3</v>
      </c>
      <c r="H273">
        <v>850</v>
      </c>
      <c r="I273">
        <f t="shared" si="12"/>
        <v>2550</v>
      </c>
      <c r="J273" t="str">
        <f t="shared" si="13"/>
        <v>02</v>
      </c>
    </row>
    <row r="274" spans="1:10" x14ac:dyDescent="0.35">
      <c r="A274">
        <v>1273</v>
      </c>
      <c r="B274" s="1">
        <v>45694</v>
      </c>
      <c r="C274" t="s">
        <v>8</v>
      </c>
      <c r="D274" t="s">
        <v>32</v>
      </c>
      <c r="E274" t="s">
        <v>21</v>
      </c>
      <c r="F274" t="s">
        <v>22</v>
      </c>
      <c r="G274">
        <v>2</v>
      </c>
      <c r="H274">
        <v>3500</v>
      </c>
      <c r="I274">
        <f t="shared" si="12"/>
        <v>7000</v>
      </c>
      <c r="J274" t="str">
        <f t="shared" si="13"/>
        <v>02</v>
      </c>
    </row>
    <row r="275" spans="1:10" x14ac:dyDescent="0.35">
      <c r="A275">
        <v>1274</v>
      </c>
      <c r="B275" s="1">
        <v>45696</v>
      </c>
      <c r="C275" t="s">
        <v>12</v>
      </c>
      <c r="D275" t="s">
        <v>20</v>
      </c>
      <c r="E275" t="s">
        <v>10</v>
      </c>
      <c r="F275" t="s">
        <v>11</v>
      </c>
      <c r="G275">
        <v>1</v>
      </c>
      <c r="H275">
        <v>2600</v>
      </c>
      <c r="I275">
        <f t="shared" si="12"/>
        <v>2600</v>
      </c>
      <c r="J275" t="str">
        <f t="shared" si="13"/>
        <v>02</v>
      </c>
    </row>
    <row r="276" spans="1:10" x14ac:dyDescent="0.35">
      <c r="A276">
        <v>1275</v>
      </c>
      <c r="B276" s="1">
        <v>45698</v>
      </c>
      <c r="C276" t="s">
        <v>16</v>
      </c>
      <c r="D276" t="s">
        <v>33</v>
      </c>
      <c r="E276" t="s">
        <v>14</v>
      </c>
      <c r="F276" t="s">
        <v>23</v>
      </c>
      <c r="G276">
        <v>1</v>
      </c>
      <c r="H276">
        <v>58000</v>
      </c>
      <c r="I276">
        <f t="shared" si="12"/>
        <v>58000</v>
      </c>
      <c r="J276" t="str">
        <f t="shared" si="13"/>
        <v>02</v>
      </c>
    </row>
    <row r="277" spans="1:10" x14ac:dyDescent="0.35">
      <c r="A277">
        <v>1276</v>
      </c>
      <c r="B277" s="1">
        <v>45700</v>
      </c>
      <c r="C277" t="s">
        <v>19</v>
      </c>
      <c r="D277" t="s">
        <v>9</v>
      </c>
      <c r="E277" t="s">
        <v>10</v>
      </c>
      <c r="F277" t="s">
        <v>25</v>
      </c>
      <c r="G277">
        <v>4</v>
      </c>
      <c r="H277">
        <v>11000</v>
      </c>
      <c r="I277">
        <f t="shared" si="12"/>
        <v>44000</v>
      </c>
      <c r="J277" t="str">
        <f t="shared" si="13"/>
        <v>02</v>
      </c>
    </row>
    <row r="278" spans="1:10" x14ac:dyDescent="0.35">
      <c r="A278">
        <v>1277</v>
      </c>
      <c r="B278" s="1">
        <v>45703</v>
      </c>
      <c r="C278" t="s">
        <v>8</v>
      </c>
      <c r="D278" t="s">
        <v>24</v>
      </c>
      <c r="E278" t="s">
        <v>21</v>
      </c>
      <c r="F278" t="s">
        <v>26</v>
      </c>
      <c r="G278">
        <v>2</v>
      </c>
      <c r="H278">
        <v>2200</v>
      </c>
      <c r="I278">
        <f t="shared" si="12"/>
        <v>4400</v>
      </c>
      <c r="J278" t="str">
        <f t="shared" si="13"/>
        <v>02</v>
      </c>
    </row>
    <row r="279" spans="1:10" x14ac:dyDescent="0.35">
      <c r="A279">
        <v>1278</v>
      </c>
      <c r="B279" s="1">
        <v>45706</v>
      </c>
      <c r="C279" t="s">
        <v>12</v>
      </c>
      <c r="D279" t="s">
        <v>27</v>
      </c>
      <c r="E279" t="s">
        <v>14</v>
      </c>
      <c r="F279" t="s">
        <v>29</v>
      </c>
      <c r="G279">
        <v>1</v>
      </c>
      <c r="H279">
        <v>3200</v>
      </c>
      <c r="I279">
        <f t="shared" si="12"/>
        <v>3200</v>
      </c>
      <c r="J279" t="str">
        <f t="shared" si="13"/>
        <v>02</v>
      </c>
    </row>
    <row r="280" spans="1:10" x14ac:dyDescent="0.35">
      <c r="A280">
        <v>1279</v>
      </c>
      <c r="B280" s="1">
        <v>45708</v>
      </c>
      <c r="C280" t="s">
        <v>16</v>
      </c>
      <c r="D280" t="s">
        <v>28</v>
      </c>
      <c r="E280" t="s">
        <v>10</v>
      </c>
      <c r="F280" t="s">
        <v>11</v>
      </c>
      <c r="G280">
        <v>1</v>
      </c>
      <c r="H280">
        <v>47000</v>
      </c>
      <c r="I280">
        <f t="shared" si="12"/>
        <v>47000</v>
      </c>
      <c r="J280" t="str">
        <f t="shared" si="13"/>
        <v>02</v>
      </c>
    </row>
    <row r="281" spans="1:10" x14ac:dyDescent="0.35">
      <c r="A281">
        <v>1280</v>
      </c>
      <c r="B281" s="1">
        <v>45710</v>
      </c>
      <c r="C281" t="s">
        <v>19</v>
      </c>
      <c r="D281" t="s">
        <v>31</v>
      </c>
      <c r="E281" t="s">
        <v>21</v>
      </c>
      <c r="F281" t="s">
        <v>30</v>
      </c>
      <c r="G281">
        <v>5</v>
      </c>
      <c r="H281">
        <v>59000</v>
      </c>
      <c r="I281">
        <f t="shared" si="12"/>
        <v>295000</v>
      </c>
      <c r="J281" t="str">
        <f t="shared" si="13"/>
        <v>02</v>
      </c>
    </row>
    <row r="282" spans="1:10" x14ac:dyDescent="0.35">
      <c r="A282">
        <v>1281</v>
      </c>
      <c r="B282" s="1">
        <v>45660</v>
      </c>
      <c r="C282" t="s">
        <v>8</v>
      </c>
      <c r="D282" t="s">
        <v>9</v>
      </c>
      <c r="E282" t="s">
        <v>10</v>
      </c>
      <c r="F282" t="s">
        <v>11</v>
      </c>
      <c r="G282">
        <v>2</v>
      </c>
      <c r="H282">
        <v>850</v>
      </c>
      <c r="I282">
        <f t="shared" si="12"/>
        <v>1700</v>
      </c>
      <c r="J282" t="str">
        <f t="shared" si="13"/>
        <v>01</v>
      </c>
    </row>
    <row r="283" spans="1:10" x14ac:dyDescent="0.35">
      <c r="A283">
        <v>1282</v>
      </c>
      <c r="B283" s="1">
        <v>45662</v>
      </c>
      <c r="C283" t="s">
        <v>12</v>
      </c>
      <c r="D283" t="s">
        <v>13</v>
      </c>
      <c r="E283" t="s">
        <v>14</v>
      </c>
      <c r="F283" t="s">
        <v>15</v>
      </c>
      <c r="G283">
        <v>5</v>
      </c>
      <c r="H283">
        <v>2500</v>
      </c>
      <c r="I283">
        <f t="shared" si="12"/>
        <v>12500</v>
      </c>
      <c r="J283" t="str">
        <f t="shared" si="13"/>
        <v>01</v>
      </c>
    </row>
    <row r="284" spans="1:10" x14ac:dyDescent="0.35">
      <c r="A284">
        <v>1283</v>
      </c>
      <c r="B284" s="1">
        <v>45663</v>
      </c>
      <c r="C284" t="s">
        <v>16</v>
      </c>
      <c r="D284" t="s">
        <v>17</v>
      </c>
      <c r="E284" t="s">
        <v>10</v>
      </c>
      <c r="F284" t="s">
        <v>18</v>
      </c>
      <c r="G284">
        <v>3</v>
      </c>
      <c r="H284">
        <v>12000</v>
      </c>
      <c r="I284">
        <f t="shared" si="12"/>
        <v>36000</v>
      </c>
      <c r="J284" t="str">
        <f t="shared" si="13"/>
        <v>01</v>
      </c>
    </row>
    <row r="285" spans="1:10" x14ac:dyDescent="0.35">
      <c r="A285">
        <v>1284</v>
      </c>
      <c r="B285" s="1">
        <v>45664</v>
      </c>
      <c r="C285" t="s">
        <v>19</v>
      </c>
      <c r="D285" t="s">
        <v>20</v>
      </c>
      <c r="E285" t="s">
        <v>21</v>
      </c>
      <c r="F285" t="s">
        <v>22</v>
      </c>
      <c r="G285">
        <v>4</v>
      </c>
      <c r="H285">
        <v>2000</v>
      </c>
      <c r="I285">
        <f t="shared" si="12"/>
        <v>8000</v>
      </c>
      <c r="J285" t="str">
        <f t="shared" si="13"/>
        <v>01</v>
      </c>
    </row>
    <row r="286" spans="1:10" x14ac:dyDescent="0.35">
      <c r="A286">
        <v>1285</v>
      </c>
      <c r="B286" s="1">
        <v>45667</v>
      </c>
      <c r="C286" t="s">
        <v>8</v>
      </c>
      <c r="D286" t="s">
        <v>13</v>
      </c>
      <c r="E286" t="s">
        <v>14</v>
      </c>
      <c r="F286" t="s">
        <v>23</v>
      </c>
      <c r="G286">
        <v>2</v>
      </c>
      <c r="H286">
        <v>3000</v>
      </c>
      <c r="I286">
        <f t="shared" si="12"/>
        <v>6000</v>
      </c>
      <c r="J286" t="str">
        <f t="shared" si="13"/>
        <v>01</v>
      </c>
    </row>
    <row r="287" spans="1:10" x14ac:dyDescent="0.35">
      <c r="A287">
        <v>1286</v>
      </c>
      <c r="B287" s="1">
        <v>45668</v>
      </c>
      <c r="C287" t="s">
        <v>12</v>
      </c>
      <c r="D287" t="s">
        <v>24</v>
      </c>
      <c r="E287" t="s">
        <v>10</v>
      </c>
      <c r="F287" t="s">
        <v>25</v>
      </c>
      <c r="G287">
        <v>6</v>
      </c>
      <c r="H287">
        <v>60000</v>
      </c>
      <c r="I287">
        <f t="shared" si="12"/>
        <v>360000</v>
      </c>
      <c r="J287" t="str">
        <f t="shared" si="13"/>
        <v>01</v>
      </c>
    </row>
    <row r="288" spans="1:10" x14ac:dyDescent="0.35">
      <c r="A288">
        <v>1287</v>
      </c>
      <c r="B288" s="1">
        <v>45670</v>
      </c>
      <c r="C288" t="s">
        <v>16</v>
      </c>
      <c r="D288" t="s">
        <v>9</v>
      </c>
      <c r="E288" t="s">
        <v>21</v>
      </c>
      <c r="F288" t="s">
        <v>26</v>
      </c>
      <c r="G288">
        <v>3</v>
      </c>
      <c r="H288">
        <v>45000</v>
      </c>
      <c r="I288">
        <f t="shared" si="12"/>
        <v>135000</v>
      </c>
      <c r="J288" t="str">
        <f t="shared" si="13"/>
        <v>01</v>
      </c>
    </row>
    <row r="289" spans="1:10" x14ac:dyDescent="0.35">
      <c r="A289">
        <v>1288</v>
      </c>
      <c r="B289" s="1">
        <v>45672</v>
      </c>
      <c r="C289" t="s">
        <v>19</v>
      </c>
      <c r="D289" t="s">
        <v>27</v>
      </c>
      <c r="E289" t="s">
        <v>10</v>
      </c>
      <c r="F289" t="s">
        <v>11</v>
      </c>
      <c r="G289">
        <v>1</v>
      </c>
      <c r="H289">
        <v>800</v>
      </c>
      <c r="I289">
        <f t="shared" si="12"/>
        <v>800</v>
      </c>
      <c r="J289" t="str">
        <f t="shared" si="13"/>
        <v>01</v>
      </c>
    </row>
    <row r="290" spans="1:10" x14ac:dyDescent="0.35">
      <c r="A290">
        <v>1289</v>
      </c>
      <c r="B290" s="1">
        <v>45675</v>
      </c>
      <c r="C290" t="s">
        <v>8</v>
      </c>
      <c r="D290" t="s">
        <v>28</v>
      </c>
      <c r="E290" t="s">
        <v>14</v>
      </c>
      <c r="F290" t="s">
        <v>29</v>
      </c>
      <c r="G290">
        <v>1</v>
      </c>
      <c r="H290">
        <v>21000</v>
      </c>
      <c r="I290">
        <f t="shared" si="12"/>
        <v>21000</v>
      </c>
      <c r="J290" t="str">
        <f t="shared" si="13"/>
        <v>01</v>
      </c>
    </row>
    <row r="291" spans="1:10" x14ac:dyDescent="0.35">
      <c r="A291">
        <v>1290</v>
      </c>
      <c r="B291" s="1">
        <v>45677</v>
      </c>
      <c r="C291" t="s">
        <v>12</v>
      </c>
      <c r="D291" t="s">
        <v>17</v>
      </c>
      <c r="E291" t="s">
        <v>21</v>
      </c>
      <c r="F291" t="s">
        <v>30</v>
      </c>
      <c r="G291">
        <v>10</v>
      </c>
      <c r="H291">
        <v>3500</v>
      </c>
      <c r="I291">
        <f t="shared" si="12"/>
        <v>35000</v>
      </c>
      <c r="J291" t="str">
        <f t="shared" si="13"/>
        <v>01</v>
      </c>
    </row>
    <row r="292" spans="1:10" x14ac:dyDescent="0.35">
      <c r="A292">
        <v>1291</v>
      </c>
      <c r="B292" s="1">
        <v>45690</v>
      </c>
      <c r="C292" t="s">
        <v>16</v>
      </c>
      <c r="D292" t="s">
        <v>31</v>
      </c>
      <c r="E292" t="s">
        <v>10</v>
      </c>
      <c r="F292" t="s">
        <v>18</v>
      </c>
      <c r="G292">
        <v>2</v>
      </c>
      <c r="H292">
        <v>2600</v>
      </c>
      <c r="I292">
        <f t="shared" si="12"/>
        <v>5200</v>
      </c>
      <c r="J292" t="str">
        <f t="shared" si="13"/>
        <v>02</v>
      </c>
    </row>
    <row r="293" spans="1:10" x14ac:dyDescent="0.35">
      <c r="A293">
        <v>1292</v>
      </c>
      <c r="B293" s="1">
        <v>45692</v>
      </c>
      <c r="C293" t="s">
        <v>19</v>
      </c>
      <c r="D293" t="s">
        <v>13</v>
      </c>
      <c r="E293" t="s">
        <v>14</v>
      </c>
      <c r="F293" t="s">
        <v>15</v>
      </c>
      <c r="G293">
        <v>3</v>
      </c>
      <c r="H293">
        <v>58000</v>
      </c>
      <c r="I293">
        <f t="shared" si="12"/>
        <v>174000</v>
      </c>
      <c r="J293" t="str">
        <f t="shared" si="13"/>
        <v>02</v>
      </c>
    </row>
    <row r="294" spans="1:10" x14ac:dyDescent="0.35">
      <c r="A294">
        <v>1293</v>
      </c>
      <c r="B294" s="1">
        <v>45694</v>
      </c>
      <c r="C294" t="s">
        <v>8</v>
      </c>
      <c r="D294" t="s">
        <v>32</v>
      </c>
      <c r="E294" t="s">
        <v>21</v>
      </c>
      <c r="F294" t="s">
        <v>22</v>
      </c>
      <c r="G294">
        <v>2</v>
      </c>
      <c r="H294">
        <v>11000</v>
      </c>
      <c r="I294">
        <f t="shared" si="12"/>
        <v>22000</v>
      </c>
      <c r="J294" t="str">
        <f t="shared" si="13"/>
        <v>02</v>
      </c>
    </row>
    <row r="295" spans="1:10" x14ac:dyDescent="0.35">
      <c r="A295">
        <v>1294</v>
      </c>
      <c r="B295" s="1">
        <v>45696</v>
      </c>
      <c r="C295" t="s">
        <v>12</v>
      </c>
      <c r="D295" t="s">
        <v>20</v>
      </c>
      <c r="E295" t="s">
        <v>10</v>
      </c>
      <c r="F295" t="s">
        <v>11</v>
      </c>
      <c r="G295">
        <v>1</v>
      </c>
      <c r="H295">
        <v>2200</v>
      </c>
      <c r="I295">
        <f t="shared" si="12"/>
        <v>2200</v>
      </c>
      <c r="J295" t="str">
        <f t="shared" si="13"/>
        <v>02</v>
      </c>
    </row>
    <row r="296" spans="1:10" x14ac:dyDescent="0.35">
      <c r="A296">
        <v>1295</v>
      </c>
      <c r="B296" s="1">
        <v>45698</v>
      </c>
      <c r="C296" t="s">
        <v>16</v>
      </c>
      <c r="D296" t="s">
        <v>33</v>
      </c>
      <c r="E296" t="s">
        <v>14</v>
      </c>
      <c r="F296" t="s">
        <v>23</v>
      </c>
      <c r="G296">
        <v>1</v>
      </c>
      <c r="H296">
        <v>55000</v>
      </c>
      <c r="I296">
        <f t="shared" si="12"/>
        <v>55000</v>
      </c>
      <c r="J296" t="str">
        <f t="shared" si="13"/>
        <v>02</v>
      </c>
    </row>
    <row r="297" spans="1:10" x14ac:dyDescent="0.35">
      <c r="A297">
        <v>1296</v>
      </c>
      <c r="B297" s="1">
        <v>45700</v>
      </c>
      <c r="C297" t="s">
        <v>19</v>
      </c>
      <c r="D297" t="s">
        <v>9</v>
      </c>
      <c r="E297" t="s">
        <v>10</v>
      </c>
      <c r="F297" t="s">
        <v>25</v>
      </c>
      <c r="G297">
        <v>4</v>
      </c>
      <c r="H297">
        <v>3500</v>
      </c>
      <c r="I297">
        <f t="shared" si="12"/>
        <v>14000</v>
      </c>
      <c r="J297" t="str">
        <f t="shared" si="13"/>
        <v>02</v>
      </c>
    </row>
    <row r="298" spans="1:10" x14ac:dyDescent="0.35">
      <c r="A298">
        <v>1297</v>
      </c>
      <c r="B298" s="1">
        <v>45703</v>
      </c>
      <c r="C298" t="s">
        <v>8</v>
      </c>
      <c r="D298" t="s">
        <v>24</v>
      </c>
      <c r="E298" t="s">
        <v>21</v>
      </c>
      <c r="F298" t="s">
        <v>26</v>
      </c>
      <c r="G298">
        <v>2</v>
      </c>
      <c r="H298">
        <v>22000</v>
      </c>
      <c r="I298">
        <f t="shared" si="12"/>
        <v>44000</v>
      </c>
      <c r="J298" t="str">
        <f t="shared" si="13"/>
        <v>02</v>
      </c>
    </row>
    <row r="299" spans="1:10" x14ac:dyDescent="0.35">
      <c r="A299">
        <v>1298</v>
      </c>
      <c r="B299" s="1">
        <v>45706</v>
      </c>
      <c r="C299" t="s">
        <v>12</v>
      </c>
      <c r="D299" t="s">
        <v>27</v>
      </c>
      <c r="E299" t="s">
        <v>14</v>
      </c>
      <c r="F299" t="s">
        <v>29</v>
      </c>
      <c r="G299">
        <v>1</v>
      </c>
      <c r="H299">
        <v>2500</v>
      </c>
      <c r="I299">
        <f t="shared" si="12"/>
        <v>2500</v>
      </c>
      <c r="J299" t="str">
        <f t="shared" si="13"/>
        <v>02</v>
      </c>
    </row>
    <row r="300" spans="1:10" x14ac:dyDescent="0.35">
      <c r="A300">
        <v>1299</v>
      </c>
      <c r="B300" s="1">
        <v>45708</v>
      </c>
      <c r="C300" t="s">
        <v>16</v>
      </c>
      <c r="D300" t="s">
        <v>28</v>
      </c>
      <c r="E300" t="s">
        <v>10</v>
      </c>
      <c r="F300" t="s">
        <v>11</v>
      </c>
      <c r="G300">
        <v>1</v>
      </c>
      <c r="H300">
        <v>12000</v>
      </c>
      <c r="I300">
        <f t="shared" si="12"/>
        <v>12000</v>
      </c>
      <c r="J300" t="str">
        <f t="shared" si="13"/>
        <v>02</v>
      </c>
    </row>
    <row r="301" spans="1:10" x14ac:dyDescent="0.35">
      <c r="A301">
        <v>1300</v>
      </c>
      <c r="B301" s="1">
        <v>45710</v>
      </c>
      <c r="C301" t="s">
        <v>19</v>
      </c>
      <c r="D301" t="s">
        <v>31</v>
      </c>
      <c r="E301" t="s">
        <v>21</v>
      </c>
      <c r="F301" t="s">
        <v>30</v>
      </c>
      <c r="G301">
        <v>5</v>
      </c>
      <c r="H301">
        <v>2000</v>
      </c>
      <c r="I301">
        <f t="shared" si="12"/>
        <v>10000</v>
      </c>
      <c r="J301" t="str">
        <f t="shared" si="13"/>
        <v>02</v>
      </c>
    </row>
    <row r="302" spans="1:10" x14ac:dyDescent="0.35">
      <c r="A302">
        <v>1301</v>
      </c>
      <c r="B302" s="1">
        <v>45660</v>
      </c>
      <c r="C302" t="s">
        <v>8</v>
      </c>
      <c r="D302" t="s">
        <v>9</v>
      </c>
      <c r="E302" t="s">
        <v>10</v>
      </c>
      <c r="F302" t="s">
        <v>11</v>
      </c>
      <c r="G302">
        <v>2</v>
      </c>
      <c r="H302">
        <v>3000</v>
      </c>
      <c r="I302">
        <f t="shared" si="12"/>
        <v>6000</v>
      </c>
      <c r="J302" t="str">
        <f t="shared" si="13"/>
        <v>01</v>
      </c>
    </row>
    <row r="303" spans="1:10" x14ac:dyDescent="0.35">
      <c r="A303">
        <v>1302</v>
      </c>
      <c r="B303" s="1">
        <v>45662</v>
      </c>
      <c r="C303" t="s">
        <v>12</v>
      </c>
      <c r="D303" t="s">
        <v>13</v>
      </c>
      <c r="E303" t="s">
        <v>14</v>
      </c>
      <c r="F303" t="s">
        <v>15</v>
      </c>
      <c r="G303">
        <v>5</v>
      </c>
      <c r="H303">
        <v>60000</v>
      </c>
      <c r="I303">
        <f t="shared" si="12"/>
        <v>300000</v>
      </c>
      <c r="J303" t="str">
        <f t="shared" si="13"/>
        <v>01</v>
      </c>
    </row>
    <row r="304" spans="1:10" x14ac:dyDescent="0.35">
      <c r="A304">
        <v>1303</v>
      </c>
      <c r="B304" s="1">
        <v>45663</v>
      </c>
      <c r="C304" t="s">
        <v>16</v>
      </c>
      <c r="D304" t="s">
        <v>17</v>
      </c>
      <c r="E304" t="s">
        <v>10</v>
      </c>
      <c r="F304" t="s">
        <v>18</v>
      </c>
      <c r="G304">
        <v>3</v>
      </c>
      <c r="H304">
        <v>45000</v>
      </c>
      <c r="I304">
        <f t="shared" si="12"/>
        <v>135000</v>
      </c>
      <c r="J304" t="str">
        <f t="shared" si="13"/>
        <v>01</v>
      </c>
    </row>
    <row r="305" spans="1:10" x14ac:dyDescent="0.35">
      <c r="A305">
        <v>1304</v>
      </c>
      <c r="B305" s="1">
        <v>45664</v>
      </c>
      <c r="C305" t="s">
        <v>19</v>
      </c>
      <c r="D305" t="s">
        <v>20</v>
      </c>
      <c r="E305" t="s">
        <v>21</v>
      </c>
      <c r="F305" t="s">
        <v>22</v>
      </c>
      <c r="G305">
        <v>4</v>
      </c>
      <c r="H305">
        <v>800</v>
      </c>
      <c r="I305">
        <f t="shared" si="12"/>
        <v>3200</v>
      </c>
      <c r="J305" t="str">
        <f t="shared" si="13"/>
        <v>01</v>
      </c>
    </row>
    <row r="306" spans="1:10" x14ac:dyDescent="0.35">
      <c r="A306">
        <v>1305</v>
      </c>
      <c r="B306" s="1">
        <v>45667</v>
      </c>
      <c r="C306" t="s">
        <v>8</v>
      </c>
      <c r="D306" t="s">
        <v>13</v>
      </c>
      <c r="E306" t="s">
        <v>14</v>
      </c>
      <c r="F306" t="s">
        <v>23</v>
      </c>
      <c r="G306">
        <v>2</v>
      </c>
      <c r="H306">
        <v>21000</v>
      </c>
      <c r="I306">
        <f t="shared" si="12"/>
        <v>42000</v>
      </c>
      <c r="J306" t="str">
        <f t="shared" si="13"/>
        <v>01</v>
      </c>
    </row>
    <row r="307" spans="1:10" x14ac:dyDescent="0.35">
      <c r="A307">
        <v>1306</v>
      </c>
      <c r="B307" s="1">
        <v>45668</v>
      </c>
      <c r="C307" t="s">
        <v>12</v>
      </c>
      <c r="D307" t="s">
        <v>24</v>
      </c>
      <c r="E307" t="s">
        <v>10</v>
      </c>
      <c r="F307" t="s">
        <v>25</v>
      </c>
      <c r="G307">
        <v>6</v>
      </c>
      <c r="H307">
        <v>3500</v>
      </c>
      <c r="I307">
        <f t="shared" si="12"/>
        <v>21000</v>
      </c>
      <c r="J307" t="str">
        <f t="shared" si="13"/>
        <v>01</v>
      </c>
    </row>
    <row r="308" spans="1:10" x14ac:dyDescent="0.35">
      <c r="A308">
        <v>1307</v>
      </c>
      <c r="B308" s="1">
        <v>45670</v>
      </c>
      <c r="C308" t="s">
        <v>16</v>
      </c>
      <c r="D308" t="s">
        <v>9</v>
      </c>
      <c r="E308" t="s">
        <v>21</v>
      </c>
      <c r="F308" t="s">
        <v>26</v>
      </c>
      <c r="G308">
        <v>3</v>
      </c>
      <c r="H308">
        <v>2600</v>
      </c>
      <c r="I308">
        <f t="shared" si="12"/>
        <v>7800</v>
      </c>
      <c r="J308" t="str">
        <f t="shared" si="13"/>
        <v>01</v>
      </c>
    </row>
    <row r="309" spans="1:10" x14ac:dyDescent="0.35">
      <c r="A309">
        <v>1308</v>
      </c>
      <c r="B309" s="1">
        <v>45672</v>
      </c>
      <c r="C309" t="s">
        <v>19</v>
      </c>
      <c r="D309" t="s">
        <v>27</v>
      </c>
      <c r="E309" t="s">
        <v>10</v>
      </c>
      <c r="F309" t="s">
        <v>11</v>
      </c>
      <c r="G309">
        <v>1</v>
      </c>
      <c r="H309">
        <v>58000</v>
      </c>
      <c r="I309">
        <f t="shared" si="12"/>
        <v>58000</v>
      </c>
      <c r="J309" t="str">
        <f t="shared" si="13"/>
        <v>01</v>
      </c>
    </row>
    <row r="310" spans="1:10" x14ac:dyDescent="0.35">
      <c r="A310">
        <v>1309</v>
      </c>
      <c r="B310" s="1">
        <v>45675</v>
      </c>
      <c r="C310" t="s">
        <v>8</v>
      </c>
      <c r="D310" t="s">
        <v>28</v>
      </c>
      <c r="E310" t="s">
        <v>14</v>
      </c>
      <c r="F310" t="s">
        <v>29</v>
      </c>
      <c r="G310">
        <v>1</v>
      </c>
      <c r="H310">
        <v>11000</v>
      </c>
      <c r="I310">
        <f t="shared" si="12"/>
        <v>11000</v>
      </c>
      <c r="J310" t="str">
        <f t="shared" si="13"/>
        <v>01</v>
      </c>
    </row>
    <row r="311" spans="1:10" x14ac:dyDescent="0.35">
      <c r="A311">
        <v>1310</v>
      </c>
      <c r="B311" s="1">
        <v>45677</v>
      </c>
      <c r="C311" t="s">
        <v>12</v>
      </c>
      <c r="D311" t="s">
        <v>17</v>
      </c>
      <c r="E311" t="s">
        <v>21</v>
      </c>
      <c r="F311" t="s">
        <v>30</v>
      </c>
      <c r="G311">
        <v>10</v>
      </c>
      <c r="H311">
        <v>2200</v>
      </c>
      <c r="I311">
        <f t="shared" si="12"/>
        <v>22000</v>
      </c>
      <c r="J311" t="str">
        <f t="shared" si="13"/>
        <v>01</v>
      </c>
    </row>
    <row r="312" spans="1:10" x14ac:dyDescent="0.35">
      <c r="A312">
        <v>1311</v>
      </c>
      <c r="B312" s="1">
        <v>45690</v>
      </c>
      <c r="C312" t="s">
        <v>16</v>
      </c>
      <c r="D312" t="s">
        <v>31</v>
      </c>
      <c r="E312" t="s">
        <v>10</v>
      </c>
      <c r="F312" t="s">
        <v>18</v>
      </c>
      <c r="G312">
        <v>2</v>
      </c>
      <c r="H312">
        <v>3200</v>
      </c>
      <c r="I312">
        <f t="shared" si="12"/>
        <v>6400</v>
      </c>
      <c r="J312" t="str">
        <f t="shared" si="13"/>
        <v>02</v>
      </c>
    </row>
    <row r="313" spans="1:10" x14ac:dyDescent="0.35">
      <c r="A313">
        <v>1312</v>
      </c>
      <c r="B313" s="1">
        <v>45692</v>
      </c>
      <c r="C313" t="s">
        <v>19</v>
      </c>
      <c r="D313" t="s">
        <v>13</v>
      </c>
      <c r="E313" t="s">
        <v>14</v>
      </c>
      <c r="F313" t="s">
        <v>15</v>
      </c>
      <c r="G313">
        <v>3</v>
      </c>
      <c r="H313">
        <v>47000</v>
      </c>
      <c r="I313">
        <f t="shared" si="12"/>
        <v>141000</v>
      </c>
      <c r="J313" t="str">
        <f t="shared" si="13"/>
        <v>02</v>
      </c>
    </row>
    <row r="314" spans="1:10" x14ac:dyDescent="0.35">
      <c r="A314">
        <v>1313</v>
      </c>
      <c r="B314" s="1">
        <v>45694</v>
      </c>
      <c r="C314" t="s">
        <v>8</v>
      </c>
      <c r="D314" t="s">
        <v>32</v>
      </c>
      <c r="E314" t="s">
        <v>21</v>
      </c>
      <c r="F314" t="s">
        <v>22</v>
      </c>
      <c r="G314">
        <v>2</v>
      </c>
      <c r="H314">
        <v>59000</v>
      </c>
      <c r="I314">
        <f t="shared" si="12"/>
        <v>118000</v>
      </c>
      <c r="J314" t="str">
        <f t="shared" si="13"/>
        <v>02</v>
      </c>
    </row>
    <row r="315" spans="1:10" x14ac:dyDescent="0.35">
      <c r="A315">
        <v>1314</v>
      </c>
      <c r="B315" s="1">
        <v>45696</v>
      </c>
      <c r="C315" t="s">
        <v>12</v>
      </c>
      <c r="D315" t="s">
        <v>20</v>
      </c>
      <c r="E315" t="s">
        <v>10</v>
      </c>
      <c r="F315" t="s">
        <v>11</v>
      </c>
      <c r="G315">
        <v>1</v>
      </c>
      <c r="H315">
        <v>850</v>
      </c>
      <c r="I315">
        <f t="shared" si="12"/>
        <v>850</v>
      </c>
      <c r="J315" t="str">
        <f t="shared" si="13"/>
        <v>02</v>
      </c>
    </row>
    <row r="316" spans="1:10" x14ac:dyDescent="0.35">
      <c r="A316">
        <v>1315</v>
      </c>
      <c r="B316" s="1">
        <v>45698</v>
      </c>
      <c r="C316" t="s">
        <v>16</v>
      </c>
      <c r="D316" t="s">
        <v>33</v>
      </c>
      <c r="E316" t="s">
        <v>14</v>
      </c>
      <c r="F316" t="s">
        <v>23</v>
      </c>
      <c r="G316">
        <v>1</v>
      </c>
      <c r="H316">
        <v>3500</v>
      </c>
      <c r="I316">
        <f t="shared" si="12"/>
        <v>3500</v>
      </c>
      <c r="J316" t="str">
        <f t="shared" si="13"/>
        <v>02</v>
      </c>
    </row>
    <row r="317" spans="1:10" x14ac:dyDescent="0.35">
      <c r="A317">
        <v>1316</v>
      </c>
      <c r="B317" s="1">
        <v>45700</v>
      </c>
      <c r="C317" t="s">
        <v>19</v>
      </c>
      <c r="D317" t="s">
        <v>9</v>
      </c>
      <c r="E317" t="s">
        <v>10</v>
      </c>
      <c r="F317" t="s">
        <v>25</v>
      </c>
      <c r="G317">
        <v>4</v>
      </c>
      <c r="H317">
        <v>2600</v>
      </c>
      <c r="I317">
        <f t="shared" si="12"/>
        <v>10400</v>
      </c>
      <c r="J317" t="str">
        <f t="shared" si="13"/>
        <v>02</v>
      </c>
    </row>
    <row r="318" spans="1:10" x14ac:dyDescent="0.35">
      <c r="A318">
        <v>1317</v>
      </c>
      <c r="B318" s="1">
        <v>45703</v>
      </c>
      <c r="C318" t="s">
        <v>8</v>
      </c>
      <c r="D318" t="s">
        <v>24</v>
      </c>
      <c r="E318" t="s">
        <v>21</v>
      </c>
      <c r="F318" t="s">
        <v>26</v>
      </c>
      <c r="G318">
        <v>2</v>
      </c>
      <c r="H318">
        <v>58000</v>
      </c>
      <c r="I318">
        <f t="shared" si="12"/>
        <v>116000</v>
      </c>
      <c r="J318" t="str">
        <f t="shared" si="13"/>
        <v>02</v>
      </c>
    </row>
    <row r="319" spans="1:10" x14ac:dyDescent="0.35">
      <c r="A319">
        <v>1318</v>
      </c>
      <c r="B319" s="1">
        <v>45706</v>
      </c>
      <c r="C319" t="s">
        <v>12</v>
      </c>
      <c r="D319" t="s">
        <v>27</v>
      </c>
      <c r="E319" t="s">
        <v>14</v>
      </c>
      <c r="F319" t="s">
        <v>29</v>
      </c>
      <c r="G319">
        <v>1</v>
      </c>
      <c r="H319">
        <v>11000</v>
      </c>
      <c r="I319">
        <f t="shared" si="12"/>
        <v>11000</v>
      </c>
      <c r="J319" t="str">
        <f t="shared" si="13"/>
        <v>02</v>
      </c>
    </row>
    <row r="320" spans="1:10" x14ac:dyDescent="0.35">
      <c r="A320">
        <v>1319</v>
      </c>
      <c r="B320" s="1">
        <v>45708</v>
      </c>
      <c r="C320" t="s">
        <v>16</v>
      </c>
      <c r="D320" t="s">
        <v>28</v>
      </c>
      <c r="E320" t="s">
        <v>10</v>
      </c>
      <c r="F320" t="s">
        <v>11</v>
      </c>
      <c r="G320">
        <v>1</v>
      </c>
      <c r="H320">
        <v>2200</v>
      </c>
      <c r="I320">
        <f t="shared" si="12"/>
        <v>2200</v>
      </c>
      <c r="J320" t="str">
        <f t="shared" si="13"/>
        <v>02</v>
      </c>
    </row>
    <row r="321" spans="1:10" x14ac:dyDescent="0.35">
      <c r="A321">
        <v>1320</v>
      </c>
      <c r="B321" s="1">
        <v>45710</v>
      </c>
      <c r="C321" t="s">
        <v>19</v>
      </c>
      <c r="D321" t="s">
        <v>31</v>
      </c>
      <c r="E321" t="s">
        <v>21</v>
      </c>
      <c r="F321" t="s">
        <v>30</v>
      </c>
      <c r="G321">
        <v>5</v>
      </c>
      <c r="H321">
        <v>3200</v>
      </c>
      <c r="I321">
        <f t="shared" si="12"/>
        <v>16000</v>
      </c>
      <c r="J321" t="str">
        <f t="shared" si="13"/>
        <v>02</v>
      </c>
    </row>
    <row r="322" spans="1:10" x14ac:dyDescent="0.35">
      <c r="A322">
        <v>1321</v>
      </c>
      <c r="B322" s="1">
        <v>45660</v>
      </c>
      <c r="C322" t="s">
        <v>8</v>
      </c>
      <c r="D322" t="s">
        <v>9</v>
      </c>
      <c r="E322" t="s">
        <v>10</v>
      </c>
      <c r="F322" t="s">
        <v>11</v>
      </c>
      <c r="G322">
        <v>2</v>
      </c>
      <c r="H322">
        <v>47000</v>
      </c>
      <c r="I322">
        <f t="shared" si="12"/>
        <v>94000</v>
      </c>
      <c r="J322" t="str">
        <f t="shared" si="13"/>
        <v>01</v>
      </c>
    </row>
    <row r="323" spans="1:10" x14ac:dyDescent="0.35">
      <c r="A323">
        <v>1322</v>
      </c>
      <c r="B323" s="1">
        <v>45662</v>
      </c>
      <c r="C323" t="s">
        <v>12</v>
      </c>
      <c r="D323" t="s">
        <v>13</v>
      </c>
      <c r="E323" t="s">
        <v>14</v>
      </c>
      <c r="F323" t="s">
        <v>15</v>
      </c>
      <c r="G323">
        <v>5</v>
      </c>
      <c r="H323">
        <v>59000</v>
      </c>
      <c r="I323">
        <f t="shared" ref="I323:I352" si="14">H323*G323</f>
        <v>295000</v>
      </c>
      <c r="J323" t="str">
        <f t="shared" ref="J323:J352" si="15">TEXT(B323,"MM")</f>
        <v>01</v>
      </c>
    </row>
    <row r="324" spans="1:10" x14ac:dyDescent="0.35">
      <c r="A324">
        <v>1323</v>
      </c>
      <c r="B324" s="1">
        <v>45663</v>
      </c>
      <c r="C324" t="s">
        <v>16</v>
      </c>
      <c r="D324" t="s">
        <v>17</v>
      </c>
      <c r="E324" t="s">
        <v>10</v>
      </c>
      <c r="F324" t="s">
        <v>18</v>
      </c>
      <c r="G324">
        <v>3</v>
      </c>
      <c r="H324">
        <v>850</v>
      </c>
      <c r="I324">
        <f t="shared" si="14"/>
        <v>2550</v>
      </c>
      <c r="J324" t="str">
        <f t="shared" si="15"/>
        <v>01</v>
      </c>
    </row>
    <row r="325" spans="1:10" x14ac:dyDescent="0.35">
      <c r="A325">
        <v>1324</v>
      </c>
      <c r="B325" s="1">
        <v>45664</v>
      </c>
      <c r="C325" t="s">
        <v>19</v>
      </c>
      <c r="D325" t="s">
        <v>20</v>
      </c>
      <c r="E325" t="s">
        <v>21</v>
      </c>
      <c r="F325" t="s">
        <v>22</v>
      </c>
      <c r="G325">
        <v>4</v>
      </c>
      <c r="H325">
        <v>2500</v>
      </c>
      <c r="I325">
        <f t="shared" si="14"/>
        <v>10000</v>
      </c>
      <c r="J325" t="str">
        <f t="shared" si="15"/>
        <v>01</v>
      </c>
    </row>
    <row r="326" spans="1:10" x14ac:dyDescent="0.35">
      <c r="A326">
        <v>1325</v>
      </c>
      <c r="B326" s="1">
        <v>45667</v>
      </c>
      <c r="C326" t="s">
        <v>8</v>
      </c>
      <c r="D326" t="s">
        <v>13</v>
      </c>
      <c r="E326" t="s">
        <v>14</v>
      </c>
      <c r="F326" t="s">
        <v>23</v>
      </c>
      <c r="G326">
        <v>2</v>
      </c>
      <c r="H326">
        <v>12000</v>
      </c>
      <c r="I326">
        <f t="shared" si="14"/>
        <v>24000</v>
      </c>
      <c r="J326" t="str">
        <f t="shared" si="15"/>
        <v>01</v>
      </c>
    </row>
    <row r="327" spans="1:10" x14ac:dyDescent="0.35">
      <c r="A327">
        <v>1326</v>
      </c>
      <c r="B327" s="1">
        <v>45668</v>
      </c>
      <c r="C327" t="s">
        <v>12</v>
      </c>
      <c r="D327" t="s">
        <v>24</v>
      </c>
      <c r="E327" t="s">
        <v>10</v>
      </c>
      <c r="F327" t="s">
        <v>25</v>
      </c>
      <c r="G327">
        <v>6</v>
      </c>
      <c r="H327">
        <v>2000</v>
      </c>
      <c r="I327">
        <f t="shared" si="14"/>
        <v>12000</v>
      </c>
      <c r="J327" t="str">
        <f t="shared" si="15"/>
        <v>01</v>
      </c>
    </row>
    <row r="328" spans="1:10" x14ac:dyDescent="0.35">
      <c r="A328">
        <v>1327</v>
      </c>
      <c r="B328" s="1">
        <v>45670</v>
      </c>
      <c r="C328" t="s">
        <v>16</v>
      </c>
      <c r="D328" t="s">
        <v>9</v>
      </c>
      <c r="E328" t="s">
        <v>21</v>
      </c>
      <c r="F328" t="s">
        <v>26</v>
      </c>
      <c r="G328">
        <v>3</v>
      </c>
      <c r="H328">
        <v>3000</v>
      </c>
      <c r="I328">
        <f t="shared" si="14"/>
        <v>9000</v>
      </c>
      <c r="J328" t="str">
        <f t="shared" si="15"/>
        <v>01</v>
      </c>
    </row>
    <row r="329" spans="1:10" x14ac:dyDescent="0.35">
      <c r="A329">
        <v>1328</v>
      </c>
      <c r="B329" s="1">
        <v>45672</v>
      </c>
      <c r="C329" t="s">
        <v>19</v>
      </c>
      <c r="D329" t="s">
        <v>27</v>
      </c>
      <c r="E329" t="s">
        <v>10</v>
      </c>
      <c r="F329" t="s">
        <v>11</v>
      </c>
      <c r="G329">
        <v>1</v>
      </c>
      <c r="H329">
        <v>60000</v>
      </c>
      <c r="I329">
        <f t="shared" si="14"/>
        <v>60000</v>
      </c>
      <c r="J329" t="str">
        <f t="shared" si="15"/>
        <v>01</v>
      </c>
    </row>
    <row r="330" spans="1:10" x14ac:dyDescent="0.35">
      <c r="A330">
        <v>1329</v>
      </c>
      <c r="B330" s="1">
        <v>45675</v>
      </c>
      <c r="C330" t="s">
        <v>8</v>
      </c>
      <c r="D330" t="s">
        <v>28</v>
      </c>
      <c r="E330" t="s">
        <v>14</v>
      </c>
      <c r="F330" t="s">
        <v>29</v>
      </c>
      <c r="G330">
        <v>1</v>
      </c>
      <c r="H330">
        <v>45000</v>
      </c>
      <c r="I330">
        <f t="shared" si="14"/>
        <v>45000</v>
      </c>
      <c r="J330" t="str">
        <f t="shared" si="15"/>
        <v>01</v>
      </c>
    </row>
    <row r="331" spans="1:10" x14ac:dyDescent="0.35">
      <c r="A331">
        <v>1330</v>
      </c>
      <c r="B331" s="1">
        <v>45677</v>
      </c>
      <c r="C331" t="s">
        <v>12</v>
      </c>
      <c r="D331" t="s">
        <v>17</v>
      </c>
      <c r="E331" t="s">
        <v>21</v>
      </c>
      <c r="F331" t="s">
        <v>30</v>
      </c>
      <c r="G331">
        <v>10</v>
      </c>
      <c r="H331">
        <v>800</v>
      </c>
      <c r="I331">
        <f t="shared" si="14"/>
        <v>8000</v>
      </c>
      <c r="J331" t="str">
        <f t="shared" si="15"/>
        <v>01</v>
      </c>
    </row>
    <row r="332" spans="1:10" x14ac:dyDescent="0.35">
      <c r="A332">
        <v>1331</v>
      </c>
      <c r="B332" s="1">
        <v>45690</v>
      </c>
      <c r="C332" t="s">
        <v>16</v>
      </c>
      <c r="D332" t="s">
        <v>31</v>
      </c>
      <c r="E332" t="s">
        <v>10</v>
      </c>
      <c r="F332" t="s">
        <v>18</v>
      </c>
      <c r="G332">
        <v>2</v>
      </c>
      <c r="H332">
        <v>21000</v>
      </c>
      <c r="I332">
        <f t="shared" si="14"/>
        <v>42000</v>
      </c>
      <c r="J332" t="str">
        <f t="shared" si="15"/>
        <v>02</v>
      </c>
    </row>
    <row r="333" spans="1:10" x14ac:dyDescent="0.35">
      <c r="A333">
        <v>1332</v>
      </c>
      <c r="B333" s="1">
        <v>45692</v>
      </c>
      <c r="C333" t="s">
        <v>19</v>
      </c>
      <c r="D333" t="s">
        <v>13</v>
      </c>
      <c r="E333" t="s">
        <v>14</v>
      </c>
      <c r="F333" t="s">
        <v>15</v>
      </c>
      <c r="G333">
        <v>3</v>
      </c>
      <c r="H333">
        <v>3500</v>
      </c>
      <c r="I333">
        <f t="shared" si="14"/>
        <v>10500</v>
      </c>
      <c r="J333" t="str">
        <f t="shared" si="15"/>
        <v>02</v>
      </c>
    </row>
    <row r="334" spans="1:10" x14ac:dyDescent="0.35">
      <c r="A334">
        <v>1333</v>
      </c>
      <c r="B334" s="1">
        <v>45694</v>
      </c>
      <c r="C334" t="s">
        <v>8</v>
      </c>
      <c r="D334" t="s">
        <v>32</v>
      </c>
      <c r="E334" t="s">
        <v>21</v>
      </c>
      <c r="F334" t="s">
        <v>22</v>
      </c>
      <c r="G334">
        <v>2</v>
      </c>
      <c r="H334">
        <v>2600</v>
      </c>
      <c r="I334">
        <f t="shared" si="14"/>
        <v>5200</v>
      </c>
      <c r="J334" t="str">
        <f t="shared" si="15"/>
        <v>02</v>
      </c>
    </row>
    <row r="335" spans="1:10" x14ac:dyDescent="0.35">
      <c r="A335">
        <v>1334</v>
      </c>
      <c r="B335" s="1">
        <v>45696</v>
      </c>
      <c r="C335" t="s">
        <v>12</v>
      </c>
      <c r="D335" t="s">
        <v>20</v>
      </c>
      <c r="E335" t="s">
        <v>10</v>
      </c>
      <c r="F335" t="s">
        <v>11</v>
      </c>
      <c r="G335">
        <v>1</v>
      </c>
      <c r="H335">
        <v>58000</v>
      </c>
      <c r="I335">
        <f t="shared" si="14"/>
        <v>58000</v>
      </c>
      <c r="J335" t="str">
        <f t="shared" si="15"/>
        <v>02</v>
      </c>
    </row>
    <row r="336" spans="1:10" x14ac:dyDescent="0.35">
      <c r="A336">
        <v>1335</v>
      </c>
      <c r="B336" s="1">
        <v>45698</v>
      </c>
      <c r="C336" t="s">
        <v>16</v>
      </c>
      <c r="D336" t="s">
        <v>33</v>
      </c>
      <c r="E336" t="s">
        <v>14</v>
      </c>
      <c r="F336" t="s">
        <v>23</v>
      </c>
      <c r="G336">
        <v>1</v>
      </c>
      <c r="H336">
        <v>11000</v>
      </c>
      <c r="I336">
        <f t="shared" si="14"/>
        <v>11000</v>
      </c>
      <c r="J336" t="str">
        <f t="shared" si="15"/>
        <v>02</v>
      </c>
    </row>
    <row r="337" spans="1:10" x14ac:dyDescent="0.35">
      <c r="A337">
        <v>1336</v>
      </c>
      <c r="B337" s="1">
        <v>45700</v>
      </c>
      <c r="C337" t="s">
        <v>19</v>
      </c>
      <c r="D337" t="s">
        <v>9</v>
      </c>
      <c r="E337" t="s">
        <v>10</v>
      </c>
      <c r="F337" t="s">
        <v>25</v>
      </c>
      <c r="G337">
        <v>4</v>
      </c>
      <c r="H337">
        <v>2200</v>
      </c>
      <c r="I337">
        <f t="shared" si="14"/>
        <v>8800</v>
      </c>
      <c r="J337" t="str">
        <f t="shared" si="15"/>
        <v>02</v>
      </c>
    </row>
    <row r="338" spans="1:10" x14ac:dyDescent="0.35">
      <c r="A338">
        <v>1337</v>
      </c>
      <c r="B338" s="1">
        <v>45703</v>
      </c>
      <c r="C338" t="s">
        <v>8</v>
      </c>
      <c r="D338" t="s">
        <v>24</v>
      </c>
      <c r="E338" t="s">
        <v>21</v>
      </c>
      <c r="F338" t="s">
        <v>26</v>
      </c>
      <c r="G338">
        <v>2</v>
      </c>
      <c r="H338">
        <v>55000</v>
      </c>
      <c r="I338">
        <f t="shared" si="14"/>
        <v>110000</v>
      </c>
      <c r="J338" t="str">
        <f t="shared" si="15"/>
        <v>02</v>
      </c>
    </row>
    <row r="339" spans="1:10" x14ac:dyDescent="0.35">
      <c r="A339">
        <v>1338</v>
      </c>
      <c r="B339" s="1">
        <v>45706</v>
      </c>
      <c r="C339" t="s">
        <v>12</v>
      </c>
      <c r="D339" t="s">
        <v>27</v>
      </c>
      <c r="E339" t="s">
        <v>14</v>
      </c>
      <c r="F339" t="s">
        <v>29</v>
      </c>
      <c r="G339">
        <v>1</v>
      </c>
      <c r="H339">
        <v>3500</v>
      </c>
      <c r="I339">
        <f t="shared" si="14"/>
        <v>3500</v>
      </c>
      <c r="J339" t="str">
        <f t="shared" si="15"/>
        <v>02</v>
      </c>
    </row>
    <row r="340" spans="1:10" x14ac:dyDescent="0.35">
      <c r="A340">
        <v>1339</v>
      </c>
      <c r="B340" s="1">
        <v>45708</v>
      </c>
      <c r="C340" t="s">
        <v>16</v>
      </c>
      <c r="D340" t="s">
        <v>28</v>
      </c>
      <c r="E340" t="s">
        <v>10</v>
      </c>
      <c r="F340" t="s">
        <v>11</v>
      </c>
      <c r="G340">
        <v>1</v>
      </c>
      <c r="H340">
        <v>22000</v>
      </c>
      <c r="I340">
        <f t="shared" si="14"/>
        <v>22000</v>
      </c>
      <c r="J340" t="str">
        <f t="shared" si="15"/>
        <v>02</v>
      </c>
    </row>
    <row r="341" spans="1:10" x14ac:dyDescent="0.35">
      <c r="A341">
        <v>1340</v>
      </c>
      <c r="B341" s="1">
        <v>45710</v>
      </c>
      <c r="C341" t="s">
        <v>19</v>
      </c>
      <c r="D341" t="s">
        <v>31</v>
      </c>
      <c r="E341" t="s">
        <v>21</v>
      </c>
      <c r="F341" t="s">
        <v>30</v>
      </c>
      <c r="G341">
        <v>5</v>
      </c>
      <c r="H341">
        <v>2500</v>
      </c>
      <c r="I341">
        <f t="shared" si="14"/>
        <v>12500</v>
      </c>
      <c r="J341" t="str">
        <f t="shared" si="15"/>
        <v>02</v>
      </c>
    </row>
    <row r="342" spans="1:10" x14ac:dyDescent="0.35">
      <c r="A342">
        <v>1341</v>
      </c>
      <c r="B342" s="1">
        <v>45660</v>
      </c>
      <c r="C342" t="s">
        <v>8</v>
      </c>
      <c r="D342" t="s">
        <v>9</v>
      </c>
      <c r="E342" t="s">
        <v>10</v>
      </c>
      <c r="F342" t="s">
        <v>11</v>
      </c>
      <c r="G342">
        <v>2</v>
      </c>
      <c r="H342">
        <v>12000</v>
      </c>
      <c r="I342">
        <f t="shared" si="14"/>
        <v>24000</v>
      </c>
      <c r="J342" t="str">
        <f t="shared" si="15"/>
        <v>01</v>
      </c>
    </row>
    <row r="343" spans="1:10" x14ac:dyDescent="0.35">
      <c r="A343">
        <v>1342</v>
      </c>
      <c r="B343" s="1">
        <v>45662</v>
      </c>
      <c r="C343" t="s">
        <v>12</v>
      </c>
      <c r="D343" t="s">
        <v>13</v>
      </c>
      <c r="E343" t="s">
        <v>14</v>
      </c>
      <c r="F343" t="s">
        <v>15</v>
      </c>
      <c r="G343">
        <v>5</v>
      </c>
      <c r="H343">
        <v>2000</v>
      </c>
      <c r="I343">
        <f t="shared" si="14"/>
        <v>10000</v>
      </c>
      <c r="J343" t="str">
        <f t="shared" si="15"/>
        <v>01</v>
      </c>
    </row>
    <row r="344" spans="1:10" x14ac:dyDescent="0.35">
      <c r="A344">
        <v>1343</v>
      </c>
      <c r="B344" s="1">
        <v>45663</v>
      </c>
      <c r="C344" t="s">
        <v>16</v>
      </c>
      <c r="D344" t="s">
        <v>17</v>
      </c>
      <c r="E344" t="s">
        <v>10</v>
      </c>
      <c r="F344" t="s">
        <v>18</v>
      </c>
      <c r="G344">
        <v>3</v>
      </c>
      <c r="H344">
        <v>3000</v>
      </c>
      <c r="I344">
        <f t="shared" si="14"/>
        <v>9000</v>
      </c>
      <c r="J344" t="str">
        <f t="shared" si="15"/>
        <v>01</v>
      </c>
    </row>
    <row r="345" spans="1:10" x14ac:dyDescent="0.35">
      <c r="A345">
        <v>1344</v>
      </c>
      <c r="B345" s="1">
        <v>45664</v>
      </c>
      <c r="C345" t="s">
        <v>19</v>
      </c>
      <c r="D345" t="s">
        <v>20</v>
      </c>
      <c r="E345" t="s">
        <v>21</v>
      </c>
      <c r="F345" t="s">
        <v>22</v>
      </c>
      <c r="G345">
        <v>4</v>
      </c>
      <c r="H345">
        <v>60000</v>
      </c>
      <c r="I345">
        <f t="shared" si="14"/>
        <v>240000</v>
      </c>
      <c r="J345" t="str">
        <f t="shared" si="15"/>
        <v>01</v>
      </c>
    </row>
    <row r="346" spans="1:10" x14ac:dyDescent="0.35">
      <c r="A346">
        <v>1345</v>
      </c>
      <c r="B346" s="1">
        <v>45667</v>
      </c>
      <c r="C346" t="s">
        <v>8</v>
      </c>
      <c r="D346" t="s">
        <v>13</v>
      </c>
      <c r="E346" t="s">
        <v>14</v>
      </c>
      <c r="F346" t="s">
        <v>23</v>
      </c>
      <c r="G346">
        <v>2</v>
      </c>
      <c r="H346">
        <v>45000</v>
      </c>
      <c r="I346">
        <f t="shared" si="14"/>
        <v>90000</v>
      </c>
      <c r="J346" t="str">
        <f t="shared" si="15"/>
        <v>01</v>
      </c>
    </row>
    <row r="347" spans="1:10" x14ac:dyDescent="0.35">
      <c r="A347">
        <v>1346</v>
      </c>
      <c r="B347" s="1">
        <v>45668</v>
      </c>
      <c r="C347" t="s">
        <v>12</v>
      </c>
      <c r="D347" t="s">
        <v>24</v>
      </c>
      <c r="E347" t="s">
        <v>10</v>
      </c>
      <c r="F347" t="s">
        <v>25</v>
      </c>
      <c r="G347">
        <v>6</v>
      </c>
      <c r="H347">
        <v>800</v>
      </c>
      <c r="I347">
        <f t="shared" si="14"/>
        <v>4800</v>
      </c>
      <c r="J347" t="str">
        <f t="shared" si="15"/>
        <v>01</v>
      </c>
    </row>
    <row r="348" spans="1:10" x14ac:dyDescent="0.35">
      <c r="A348">
        <v>1347</v>
      </c>
      <c r="B348" s="1">
        <v>45670</v>
      </c>
      <c r="C348" t="s">
        <v>16</v>
      </c>
      <c r="D348" t="s">
        <v>9</v>
      </c>
      <c r="E348" t="s">
        <v>21</v>
      </c>
      <c r="F348" t="s">
        <v>26</v>
      </c>
      <c r="G348">
        <v>3</v>
      </c>
      <c r="H348">
        <v>21000</v>
      </c>
      <c r="I348">
        <f t="shared" si="14"/>
        <v>63000</v>
      </c>
      <c r="J348" t="str">
        <f t="shared" si="15"/>
        <v>01</v>
      </c>
    </row>
    <row r="349" spans="1:10" x14ac:dyDescent="0.35">
      <c r="A349">
        <v>1348</v>
      </c>
      <c r="B349" s="1">
        <v>45672</v>
      </c>
      <c r="C349" t="s">
        <v>19</v>
      </c>
      <c r="D349" t="s">
        <v>27</v>
      </c>
      <c r="E349" t="s">
        <v>10</v>
      </c>
      <c r="F349" t="s">
        <v>11</v>
      </c>
      <c r="G349">
        <v>1</v>
      </c>
      <c r="H349">
        <v>3500</v>
      </c>
      <c r="I349">
        <f t="shared" si="14"/>
        <v>3500</v>
      </c>
      <c r="J349" t="str">
        <f t="shared" si="15"/>
        <v>01</v>
      </c>
    </row>
    <row r="350" spans="1:10" x14ac:dyDescent="0.35">
      <c r="A350">
        <v>1349</v>
      </c>
      <c r="B350" s="1">
        <v>45675</v>
      </c>
      <c r="C350" t="s">
        <v>8</v>
      </c>
      <c r="D350" t="s">
        <v>28</v>
      </c>
      <c r="E350" t="s">
        <v>14</v>
      </c>
      <c r="F350" t="s">
        <v>29</v>
      </c>
      <c r="G350">
        <v>1</v>
      </c>
      <c r="H350">
        <v>2600</v>
      </c>
      <c r="I350">
        <f t="shared" si="14"/>
        <v>2600</v>
      </c>
      <c r="J350" t="str">
        <f t="shared" si="15"/>
        <v>01</v>
      </c>
    </row>
    <row r="351" spans="1:10" x14ac:dyDescent="0.35">
      <c r="A351">
        <v>1350</v>
      </c>
      <c r="B351" s="1">
        <v>45677</v>
      </c>
      <c r="C351" t="s">
        <v>12</v>
      </c>
      <c r="D351" t="s">
        <v>17</v>
      </c>
      <c r="E351" t="s">
        <v>21</v>
      </c>
      <c r="F351" t="s">
        <v>30</v>
      </c>
      <c r="G351">
        <v>10</v>
      </c>
      <c r="H351">
        <v>58000</v>
      </c>
      <c r="I351">
        <f t="shared" si="14"/>
        <v>580000</v>
      </c>
      <c r="J351" t="str">
        <f t="shared" si="15"/>
        <v>01</v>
      </c>
    </row>
    <row r="352" spans="1:10" x14ac:dyDescent="0.35">
      <c r="A352">
        <v>1351</v>
      </c>
      <c r="B352" s="1">
        <v>45690</v>
      </c>
      <c r="C352" t="s">
        <v>16</v>
      </c>
      <c r="D352" t="s">
        <v>31</v>
      </c>
      <c r="E352" t="s">
        <v>10</v>
      </c>
      <c r="F352" t="s">
        <v>18</v>
      </c>
      <c r="G352">
        <v>2</v>
      </c>
      <c r="H352">
        <v>11000</v>
      </c>
      <c r="I352">
        <f t="shared" si="14"/>
        <v>22000</v>
      </c>
      <c r="J352" t="str">
        <f t="shared" si="15"/>
        <v>02</v>
      </c>
    </row>
  </sheetData>
  <mergeCells count="1">
    <mergeCell ref="K3:Q16"/>
  </mergeCells>
  <conditionalFormatting sqref="S6:T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6:T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8946-308C-4800-89F2-946D20D1774D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1157-3CD0-4184-B3D3-9C6F108EFDDE}">
  <dimension ref="A1:H20"/>
  <sheetViews>
    <sheetView tabSelected="1" topLeftCell="A9" workbookViewId="0">
      <selection activeCell="H16" sqref="H16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1.36328125" bestFit="1" customWidth="1"/>
    <col min="6" max="6" width="12.36328125" bestFit="1" customWidth="1"/>
    <col min="7" max="7" width="14.54296875" bestFit="1" customWidth="1"/>
    <col min="8" max="8" width="11.36328125" bestFit="1" customWidth="1"/>
  </cols>
  <sheetData>
    <row r="1" spans="1:8" x14ac:dyDescent="0.35">
      <c r="A1" s="6" t="s">
        <v>48</v>
      </c>
      <c r="B1" t="s">
        <v>47</v>
      </c>
      <c r="C1" t="s">
        <v>50</v>
      </c>
      <c r="F1" s="6" t="s">
        <v>48</v>
      </c>
      <c r="G1" t="s">
        <v>51</v>
      </c>
      <c r="H1" t="s">
        <v>50</v>
      </c>
    </row>
    <row r="2" spans="1:8" x14ac:dyDescent="0.35">
      <c r="A2" s="7" t="s">
        <v>43</v>
      </c>
      <c r="B2" s="5">
        <v>211590</v>
      </c>
      <c r="C2" s="5">
        <v>12464500</v>
      </c>
      <c r="F2" s="7" t="s">
        <v>19</v>
      </c>
      <c r="G2" s="5">
        <v>294</v>
      </c>
      <c r="H2" s="5">
        <v>5388550</v>
      </c>
    </row>
    <row r="3" spans="1:8" x14ac:dyDescent="0.35">
      <c r="A3" s="7" t="s">
        <v>44</v>
      </c>
      <c r="B3" s="5">
        <v>201186</v>
      </c>
      <c r="C3" s="5">
        <v>7270550</v>
      </c>
      <c r="F3" s="7" t="s">
        <v>8</v>
      </c>
      <c r="G3" s="5">
        <v>158</v>
      </c>
      <c r="H3" s="5">
        <v>3344850</v>
      </c>
    </row>
    <row r="4" spans="1:8" x14ac:dyDescent="0.35">
      <c r="A4" s="7" t="s">
        <v>49</v>
      </c>
      <c r="B4" s="5">
        <v>412776</v>
      </c>
      <c r="C4" s="5">
        <v>19735050</v>
      </c>
      <c r="F4" s="7" t="s">
        <v>16</v>
      </c>
      <c r="G4" s="5">
        <v>178</v>
      </c>
      <c r="H4" s="5">
        <v>3727850</v>
      </c>
    </row>
    <row r="5" spans="1:8" x14ac:dyDescent="0.35">
      <c r="F5" s="7" t="s">
        <v>12</v>
      </c>
      <c r="G5" s="5">
        <v>412</v>
      </c>
      <c r="H5" s="5">
        <v>7273800</v>
      </c>
    </row>
    <row r="6" spans="1:8" x14ac:dyDescent="0.35">
      <c r="F6" s="7" t="s">
        <v>49</v>
      </c>
      <c r="G6" s="5">
        <v>1042</v>
      </c>
      <c r="H6" s="5">
        <v>19735050</v>
      </c>
    </row>
    <row r="9" spans="1:8" x14ac:dyDescent="0.35">
      <c r="A9" s="6" t="s">
        <v>48</v>
      </c>
      <c r="B9" t="s">
        <v>51</v>
      </c>
      <c r="C9" t="s">
        <v>50</v>
      </c>
    </row>
    <row r="10" spans="1:8" x14ac:dyDescent="0.35">
      <c r="A10" s="7" t="s">
        <v>9</v>
      </c>
      <c r="B10" s="5">
        <v>158</v>
      </c>
      <c r="C10" s="5">
        <v>2965000</v>
      </c>
    </row>
    <row r="11" spans="1:8" x14ac:dyDescent="0.35">
      <c r="A11" s="7" t="s">
        <v>13</v>
      </c>
      <c r="B11" s="5">
        <v>177</v>
      </c>
      <c r="C11" s="5">
        <v>3412900</v>
      </c>
    </row>
    <row r="12" spans="1:8" x14ac:dyDescent="0.35">
      <c r="A12" s="7" t="s">
        <v>17</v>
      </c>
      <c r="B12" s="5">
        <v>234</v>
      </c>
      <c r="C12" s="5">
        <v>4332750</v>
      </c>
    </row>
    <row r="13" spans="1:8" x14ac:dyDescent="0.35">
      <c r="A13" s="7" t="s">
        <v>20</v>
      </c>
      <c r="B13" s="5">
        <v>89</v>
      </c>
      <c r="C13" s="5">
        <v>1615450</v>
      </c>
    </row>
    <row r="14" spans="1:8" x14ac:dyDescent="0.35">
      <c r="A14" s="7" t="s">
        <v>24</v>
      </c>
      <c r="B14" s="5">
        <v>142</v>
      </c>
      <c r="C14" s="5">
        <v>2309600</v>
      </c>
    </row>
    <row r="15" spans="1:8" x14ac:dyDescent="0.35">
      <c r="A15" s="7" t="s">
        <v>27</v>
      </c>
      <c r="B15" s="5">
        <v>35</v>
      </c>
      <c r="C15" s="5">
        <v>701350</v>
      </c>
    </row>
    <row r="16" spans="1:8" x14ac:dyDescent="0.35">
      <c r="A16" s="7" t="s">
        <v>28</v>
      </c>
      <c r="B16" s="5">
        <v>35</v>
      </c>
      <c r="C16" s="5">
        <v>716400</v>
      </c>
    </row>
    <row r="17" spans="1:3" x14ac:dyDescent="0.35">
      <c r="A17" s="7" t="s">
        <v>31</v>
      </c>
      <c r="B17" s="5">
        <v>121</v>
      </c>
      <c r="C17" s="5">
        <v>2607950</v>
      </c>
    </row>
    <row r="18" spans="1:3" x14ac:dyDescent="0.35">
      <c r="A18" s="7" t="s">
        <v>32</v>
      </c>
      <c r="B18" s="5">
        <v>34</v>
      </c>
      <c r="C18" s="5">
        <v>719500</v>
      </c>
    </row>
    <row r="19" spans="1:3" x14ac:dyDescent="0.35">
      <c r="A19" s="7" t="s">
        <v>33</v>
      </c>
      <c r="B19" s="5">
        <v>17</v>
      </c>
      <c r="C19" s="5">
        <v>354150</v>
      </c>
    </row>
    <row r="20" spans="1:3" x14ac:dyDescent="0.35">
      <c r="A20" s="7" t="s">
        <v>49</v>
      </c>
      <c r="B20" s="5">
        <v>1042</v>
      </c>
      <c r="C20" s="5">
        <v>19735050</v>
      </c>
    </row>
  </sheetData>
  <conditionalFormatting pivot="1" sqref="C10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</vt:lpstr>
      <vt:lpstr>Sheet2</vt:lpstr>
      <vt:lpstr>Pivat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Patel</dc:creator>
  <cp:lastModifiedBy>Amit Patel</cp:lastModifiedBy>
  <dcterms:created xsi:type="dcterms:W3CDTF">2015-06-05T18:17:20Z</dcterms:created>
  <dcterms:modified xsi:type="dcterms:W3CDTF">2026-02-26T10:05:02Z</dcterms:modified>
</cp:coreProperties>
</file>