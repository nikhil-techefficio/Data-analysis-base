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it\Documents\GitHub\Data-analysis-base\Day 3\"/>
    </mc:Choice>
  </mc:AlternateContent>
  <xr:revisionPtr revIDLastSave="0" documentId="13_ncr:1_{57A7E480-1FB0-4D76-9AAC-F09999028D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3" r:id="rId1"/>
    <sheet name="Pivat " sheetId="2" r:id="rId2"/>
  </sheets>
  <definedNames>
    <definedName name="_xlnm._FilterDatabase" localSheetId="0" hidden="1">Sheet2!$A$1:$O$353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M6" i="3" s="1"/>
  <c r="N6" i="3" s="1"/>
  <c r="O6" i="3" s="1"/>
  <c r="K7" i="3"/>
  <c r="M7" i="3" s="1"/>
  <c r="N7" i="3" s="1"/>
  <c r="O7" i="3" s="1"/>
  <c r="K8" i="3"/>
  <c r="K9" i="3"/>
  <c r="K10" i="3"/>
  <c r="K11" i="3"/>
  <c r="K12" i="3"/>
  <c r="K13" i="3"/>
  <c r="M13" i="3" s="1"/>
  <c r="N13" i="3" s="1"/>
  <c r="O13" i="3" s="1"/>
  <c r="K14" i="3"/>
  <c r="M14" i="3" s="1"/>
  <c r="N14" i="3" s="1"/>
  <c r="O14" i="3" s="1"/>
  <c r="K15" i="3"/>
  <c r="K16" i="3"/>
  <c r="K17" i="3"/>
  <c r="K18" i="3"/>
  <c r="M18" i="3" s="1"/>
  <c r="N18" i="3" s="1"/>
  <c r="O18" i="3" s="1"/>
  <c r="K19" i="3"/>
  <c r="M19" i="3" s="1"/>
  <c r="N19" i="3" s="1"/>
  <c r="O19" i="3" s="1"/>
  <c r="K20" i="3"/>
  <c r="K21" i="3"/>
  <c r="K22" i="3"/>
  <c r="K23" i="3"/>
  <c r="K24" i="3"/>
  <c r="K25" i="3"/>
  <c r="M25" i="3" s="1"/>
  <c r="K26" i="3"/>
  <c r="M26" i="3" s="1"/>
  <c r="K27" i="3"/>
  <c r="K28" i="3"/>
  <c r="K29" i="3"/>
  <c r="K30" i="3"/>
  <c r="M30" i="3" s="1"/>
  <c r="K31" i="3"/>
  <c r="M31" i="3" s="1"/>
  <c r="K32" i="3"/>
  <c r="K33" i="3"/>
  <c r="K34" i="3"/>
  <c r="K35" i="3"/>
  <c r="K36" i="3"/>
  <c r="K37" i="3"/>
  <c r="M37" i="3" s="1"/>
  <c r="K38" i="3"/>
  <c r="M38" i="3" s="1"/>
  <c r="K39" i="3"/>
  <c r="K40" i="3"/>
  <c r="K41" i="3"/>
  <c r="K42" i="3"/>
  <c r="M42" i="3" s="1"/>
  <c r="K43" i="3"/>
  <c r="M43" i="3" s="1"/>
  <c r="K44" i="3"/>
  <c r="K45" i="3"/>
  <c r="K46" i="3"/>
  <c r="K47" i="3"/>
  <c r="K48" i="3"/>
  <c r="K49" i="3"/>
  <c r="M49" i="3" s="1"/>
  <c r="K50" i="3"/>
  <c r="M50" i="3" s="1"/>
  <c r="K51" i="3"/>
  <c r="K52" i="3"/>
  <c r="K53" i="3"/>
  <c r="K54" i="3"/>
  <c r="M54" i="3" s="1"/>
  <c r="K55" i="3"/>
  <c r="M55" i="3" s="1"/>
  <c r="K56" i="3"/>
  <c r="K57" i="3"/>
  <c r="K58" i="3"/>
  <c r="K59" i="3"/>
  <c r="K60" i="3"/>
  <c r="K61" i="3"/>
  <c r="M61" i="3" s="1"/>
  <c r="K62" i="3"/>
  <c r="M62" i="3" s="1"/>
  <c r="K63" i="3"/>
  <c r="K64" i="3"/>
  <c r="K65" i="3"/>
  <c r="K66" i="3"/>
  <c r="M66" i="3" s="1"/>
  <c r="K67" i="3"/>
  <c r="M67" i="3" s="1"/>
  <c r="K68" i="3"/>
  <c r="K69" i="3"/>
  <c r="K70" i="3"/>
  <c r="K71" i="3"/>
  <c r="K72" i="3"/>
  <c r="K73" i="3"/>
  <c r="M73" i="3" s="1"/>
  <c r="K74" i="3"/>
  <c r="M74" i="3" s="1"/>
  <c r="K75" i="3"/>
  <c r="K76" i="3"/>
  <c r="K77" i="3"/>
  <c r="K78" i="3"/>
  <c r="M78" i="3" s="1"/>
  <c r="K79" i="3"/>
  <c r="M79" i="3" s="1"/>
  <c r="K80" i="3"/>
  <c r="K81" i="3"/>
  <c r="K82" i="3"/>
  <c r="K83" i="3"/>
  <c r="K84" i="3"/>
  <c r="K85" i="3"/>
  <c r="M85" i="3" s="1"/>
  <c r="K86" i="3"/>
  <c r="M86" i="3" s="1"/>
  <c r="K87" i="3"/>
  <c r="K88" i="3"/>
  <c r="K89" i="3"/>
  <c r="K90" i="3"/>
  <c r="M90" i="3" s="1"/>
  <c r="K91" i="3"/>
  <c r="M91" i="3" s="1"/>
  <c r="K92" i="3"/>
  <c r="K93" i="3"/>
  <c r="K94" i="3"/>
  <c r="K95" i="3"/>
  <c r="K96" i="3"/>
  <c r="K97" i="3"/>
  <c r="M97" i="3" s="1"/>
  <c r="K98" i="3"/>
  <c r="M98" i="3" s="1"/>
  <c r="K99" i="3"/>
  <c r="K100" i="3"/>
  <c r="K101" i="3"/>
  <c r="K102" i="3"/>
  <c r="M102" i="3" s="1"/>
  <c r="K103" i="3"/>
  <c r="M103" i="3" s="1"/>
  <c r="K104" i="3"/>
  <c r="K105" i="3"/>
  <c r="K106" i="3"/>
  <c r="K107" i="3"/>
  <c r="K108" i="3"/>
  <c r="K109" i="3"/>
  <c r="M109" i="3" s="1"/>
  <c r="K110" i="3"/>
  <c r="M110" i="3" s="1"/>
  <c r="K111" i="3"/>
  <c r="K112" i="3"/>
  <c r="K113" i="3"/>
  <c r="K114" i="3"/>
  <c r="M114" i="3" s="1"/>
  <c r="K115" i="3"/>
  <c r="M115" i="3" s="1"/>
  <c r="K116" i="3"/>
  <c r="K117" i="3"/>
  <c r="K118" i="3"/>
  <c r="K119" i="3"/>
  <c r="K120" i="3"/>
  <c r="K121" i="3"/>
  <c r="M121" i="3" s="1"/>
  <c r="K122" i="3"/>
  <c r="M122" i="3" s="1"/>
  <c r="K123" i="3"/>
  <c r="K124" i="3"/>
  <c r="K125" i="3"/>
  <c r="K126" i="3"/>
  <c r="M126" i="3" s="1"/>
  <c r="K127" i="3"/>
  <c r="M127" i="3" s="1"/>
  <c r="K128" i="3"/>
  <c r="K129" i="3"/>
  <c r="K130" i="3"/>
  <c r="K131" i="3"/>
  <c r="K132" i="3"/>
  <c r="K133" i="3"/>
  <c r="M133" i="3" s="1"/>
  <c r="K134" i="3"/>
  <c r="M134" i="3" s="1"/>
  <c r="K135" i="3"/>
  <c r="K136" i="3"/>
  <c r="K137" i="3"/>
  <c r="K138" i="3"/>
  <c r="M138" i="3" s="1"/>
  <c r="K139" i="3"/>
  <c r="M139" i="3" s="1"/>
  <c r="K140" i="3"/>
  <c r="K141" i="3"/>
  <c r="K142" i="3"/>
  <c r="K143" i="3"/>
  <c r="K144" i="3"/>
  <c r="K145" i="3"/>
  <c r="M145" i="3" s="1"/>
  <c r="K146" i="3"/>
  <c r="M146" i="3" s="1"/>
  <c r="K147" i="3"/>
  <c r="K148" i="3"/>
  <c r="K149" i="3"/>
  <c r="K150" i="3"/>
  <c r="M150" i="3" s="1"/>
  <c r="K151" i="3"/>
  <c r="M151" i="3" s="1"/>
  <c r="K152" i="3"/>
  <c r="K153" i="3"/>
  <c r="K154" i="3"/>
  <c r="K155" i="3"/>
  <c r="K156" i="3"/>
  <c r="K157" i="3"/>
  <c r="M157" i="3" s="1"/>
  <c r="K158" i="3"/>
  <c r="M158" i="3" s="1"/>
  <c r="K159" i="3"/>
  <c r="K160" i="3"/>
  <c r="K161" i="3"/>
  <c r="K162" i="3"/>
  <c r="M162" i="3" s="1"/>
  <c r="K163" i="3"/>
  <c r="M163" i="3" s="1"/>
  <c r="K164" i="3"/>
  <c r="K165" i="3"/>
  <c r="K166" i="3"/>
  <c r="K167" i="3"/>
  <c r="K168" i="3"/>
  <c r="K169" i="3"/>
  <c r="M169" i="3" s="1"/>
  <c r="K170" i="3"/>
  <c r="M170" i="3" s="1"/>
  <c r="K171" i="3"/>
  <c r="K172" i="3"/>
  <c r="K173" i="3"/>
  <c r="K174" i="3"/>
  <c r="M174" i="3" s="1"/>
  <c r="K175" i="3"/>
  <c r="M175" i="3" s="1"/>
  <c r="K176" i="3"/>
  <c r="K177" i="3"/>
  <c r="K178" i="3"/>
  <c r="K179" i="3"/>
  <c r="K180" i="3"/>
  <c r="K181" i="3"/>
  <c r="M181" i="3" s="1"/>
  <c r="K182" i="3"/>
  <c r="M182" i="3" s="1"/>
  <c r="K183" i="3"/>
  <c r="K184" i="3"/>
  <c r="K185" i="3"/>
  <c r="K186" i="3"/>
  <c r="M186" i="3" s="1"/>
  <c r="K187" i="3"/>
  <c r="M187" i="3" s="1"/>
  <c r="K188" i="3"/>
  <c r="K189" i="3"/>
  <c r="K190" i="3"/>
  <c r="K191" i="3"/>
  <c r="K192" i="3"/>
  <c r="K193" i="3"/>
  <c r="M193" i="3" s="1"/>
  <c r="K194" i="3"/>
  <c r="M194" i="3" s="1"/>
  <c r="K195" i="3"/>
  <c r="K196" i="3"/>
  <c r="K197" i="3"/>
  <c r="K198" i="3"/>
  <c r="M198" i="3" s="1"/>
  <c r="K199" i="3"/>
  <c r="K200" i="3"/>
  <c r="K201" i="3"/>
  <c r="K202" i="3"/>
  <c r="K203" i="3"/>
  <c r="K204" i="3"/>
  <c r="K205" i="3"/>
  <c r="M205" i="3" s="1"/>
  <c r="K206" i="3"/>
  <c r="M206" i="3" s="1"/>
  <c r="K207" i="3"/>
  <c r="K208" i="3"/>
  <c r="K209" i="3"/>
  <c r="K210" i="3"/>
  <c r="M210" i="3" s="1"/>
  <c r="K211" i="3"/>
  <c r="K212" i="3"/>
  <c r="K213" i="3"/>
  <c r="K214" i="3"/>
  <c r="K215" i="3"/>
  <c r="K216" i="3"/>
  <c r="K217" i="3"/>
  <c r="M217" i="3" s="1"/>
  <c r="K218" i="3"/>
  <c r="M218" i="3" s="1"/>
  <c r="K219" i="3"/>
  <c r="K220" i="3"/>
  <c r="K221" i="3"/>
  <c r="K222" i="3"/>
  <c r="M222" i="3" s="1"/>
  <c r="K223" i="3"/>
  <c r="K224" i="3"/>
  <c r="K225" i="3"/>
  <c r="K226" i="3"/>
  <c r="K227" i="3"/>
  <c r="K228" i="3"/>
  <c r="K229" i="3"/>
  <c r="M229" i="3" s="1"/>
  <c r="K230" i="3"/>
  <c r="M230" i="3" s="1"/>
  <c r="K231" i="3"/>
  <c r="K232" i="3"/>
  <c r="K233" i="3"/>
  <c r="K234" i="3"/>
  <c r="M234" i="3" s="1"/>
  <c r="K235" i="3"/>
  <c r="K236" i="3"/>
  <c r="K237" i="3"/>
  <c r="K238" i="3"/>
  <c r="K239" i="3"/>
  <c r="K240" i="3"/>
  <c r="K241" i="3"/>
  <c r="M241" i="3" s="1"/>
  <c r="K242" i="3"/>
  <c r="M242" i="3" s="1"/>
  <c r="K243" i="3"/>
  <c r="K244" i="3"/>
  <c r="K245" i="3"/>
  <c r="K246" i="3"/>
  <c r="M246" i="3" s="1"/>
  <c r="K247" i="3"/>
  <c r="K248" i="3"/>
  <c r="K249" i="3"/>
  <c r="K250" i="3"/>
  <c r="K251" i="3"/>
  <c r="K252" i="3"/>
  <c r="K253" i="3"/>
  <c r="M253" i="3" s="1"/>
  <c r="K254" i="3"/>
  <c r="M254" i="3" s="1"/>
  <c r="K255" i="3"/>
  <c r="K256" i="3"/>
  <c r="K257" i="3"/>
  <c r="K258" i="3"/>
  <c r="M258" i="3" s="1"/>
  <c r="K259" i="3"/>
  <c r="K260" i="3"/>
  <c r="K261" i="3"/>
  <c r="K262" i="3"/>
  <c r="K263" i="3"/>
  <c r="K264" i="3"/>
  <c r="K265" i="3"/>
  <c r="M265" i="3" s="1"/>
  <c r="K266" i="3"/>
  <c r="M266" i="3" s="1"/>
  <c r="K267" i="3"/>
  <c r="K268" i="3"/>
  <c r="K269" i="3"/>
  <c r="K270" i="3"/>
  <c r="M270" i="3" s="1"/>
  <c r="K271" i="3"/>
  <c r="K272" i="3"/>
  <c r="K273" i="3"/>
  <c r="K274" i="3"/>
  <c r="K275" i="3"/>
  <c r="K276" i="3"/>
  <c r="K277" i="3"/>
  <c r="M277" i="3" s="1"/>
  <c r="K278" i="3"/>
  <c r="M278" i="3" s="1"/>
  <c r="K279" i="3"/>
  <c r="K280" i="3"/>
  <c r="K281" i="3"/>
  <c r="K282" i="3"/>
  <c r="M282" i="3" s="1"/>
  <c r="K283" i="3"/>
  <c r="K284" i="3"/>
  <c r="K285" i="3"/>
  <c r="K286" i="3"/>
  <c r="K287" i="3"/>
  <c r="K288" i="3"/>
  <c r="K289" i="3"/>
  <c r="M289" i="3" s="1"/>
  <c r="K290" i="3"/>
  <c r="M290" i="3" s="1"/>
  <c r="K291" i="3"/>
  <c r="K292" i="3"/>
  <c r="K293" i="3"/>
  <c r="K294" i="3"/>
  <c r="M294" i="3" s="1"/>
  <c r="K295" i="3"/>
  <c r="K296" i="3"/>
  <c r="K297" i="3"/>
  <c r="K298" i="3"/>
  <c r="K299" i="3"/>
  <c r="K300" i="3"/>
  <c r="K301" i="3"/>
  <c r="M301" i="3" s="1"/>
  <c r="K302" i="3"/>
  <c r="M302" i="3" s="1"/>
  <c r="K303" i="3"/>
  <c r="K304" i="3"/>
  <c r="K305" i="3"/>
  <c r="K306" i="3"/>
  <c r="M306" i="3" s="1"/>
  <c r="K307" i="3"/>
  <c r="K308" i="3"/>
  <c r="K309" i="3"/>
  <c r="K310" i="3"/>
  <c r="K311" i="3"/>
  <c r="K312" i="3"/>
  <c r="K313" i="3"/>
  <c r="M313" i="3" s="1"/>
  <c r="K314" i="3"/>
  <c r="M314" i="3" s="1"/>
  <c r="K315" i="3"/>
  <c r="K316" i="3"/>
  <c r="K317" i="3"/>
  <c r="K318" i="3"/>
  <c r="M318" i="3" s="1"/>
  <c r="K319" i="3"/>
  <c r="K320" i="3"/>
  <c r="K321" i="3"/>
  <c r="K322" i="3"/>
  <c r="K323" i="3"/>
  <c r="K324" i="3"/>
  <c r="K325" i="3"/>
  <c r="M325" i="3" s="1"/>
  <c r="K326" i="3"/>
  <c r="M326" i="3" s="1"/>
  <c r="K327" i="3"/>
  <c r="K328" i="3"/>
  <c r="K329" i="3"/>
  <c r="K330" i="3"/>
  <c r="M330" i="3" s="1"/>
  <c r="K331" i="3"/>
  <c r="K332" i="3"/>
  <c r="K333" i="3"/>
  <c r="K334" i="3"/>
  <c r="K335" i="3"/>
  <c r="K336" i="3"/>
  <c r="K337" i="3"/>
  <c r="M337" i="3" s="1"/>
  <c r="K338" i="3"/>
  <c r="M338" i="3" s="1"/>
  <c r="K339" i="3"/>
  <c r="K340" i="3"/>
  <c r="K341" i="3"/>
  <c r="K342" i="3"/>
  <c r="M342" i="3" s="1"/>
  <c r="K343" i="3"/>
  <c r="K344" i="3"/>
  <c r="K345" i="3"/>
  <c r="K346" i="3"/>
  <c r="K347" i="3"/>
  <c r="K348" i="3"/>
  <c r="K349" i="3"/>
  <c r="M349" i="3" s="1"/>
  <c r="K350" i="3"/>
  <c r="M350" i="3" s="1"/>
  <c r="K351" i="3"/>
  <c r="K352" i="3"/>
  <c r="K2" i="3"/>
  <c r="M2" i="3" s="1"/>
  <c r="N2" i="3" s="1"/>
  <c r="I88" i="3"/>
  <c r="I73" i="3"/>
  <c r="M3" i="3"/>
  <c r="N3" i="3" s="1"/>
  <c r="O3" i="3" s="1"/>
  <c r="M4" i="3"/>
  <c r="N4" i="3" s="1"/>
  <c r="O4" i="3" s="1"/>
  <c r="M5" i="3"/>
  <c r="N5" i="3" s="1"/>
  <c r="O5" i="3" s="1"/>
  <c r="M8" i="3"/>
  <c r="N8" i="3" s="1"/>
  <c r="O8" i="3" s="1"/>
  <c r="M9" i="3"/>
  <c r="N9" i="3" s="1"/>
  <c r="O9" i="3" s="1"/>
  <c r="M10" i="3"/>
  <c r="N10" i="3" s="1"/>
  <c r="O10" i="3" s="1"/>
  <c r="M11" i="3"/>
  <c r="N11" i="3" s="1"/>
  <c r="O11" i="3" s="1"/>
  <c r="M12" i="3"/>
  <c r="N12" i="3" s="1"/>
  <c r="O12" i="3" s="1"/>
  <c r="M15" i="3"/>
  <c r="N15" i="3" s="1"/>
  <c r="O15" i="3" s="1"/>
  <c r="M16" i="3"/>
  <c r="N16" i="3" s="1"/>
  <c r="O16" i="3" s="1"/>
  <c r="M17" i="3"/>
  <c r="N17" i="3" s="1"/>
  <c r="O17" i="3" s="1"/>
  <c r="M20" i="3"/>
  <c r="N20" i="3" s="1"/>
  <c r="O20" i="3" s="1"/>
  <c r="M21" i="3"/>
  <c r="N21" i="3" s="1"/>
  <c r="O21" i="3" s="1"/>
  <c r="M22" i="3"/>
  <c r="M23" i="3"/>
  <c r="M24" i="3"/>
  <c r="M27" i="3"/>
  <c r="M28" i="3"/>
  <c r="M29" i="3"/>
  <c r="M32" i="3"/>
  <c r="M33" i="3"/>
  <c r="M34" i="3"/>
  <c r="M35" i="3"/>
  <c r="M36" i="3"/>
  <c r="M39" i="3"/>
  <c r="M40" i="3"/>
  <c r="M41" i="3"/>
  <c r="M44" i="3"/>
  <c r="M45" i="3"/>
  <c r="M46" i="3"/>
  <c r="M47" i="3"/>
  <c r="M48" i="3"/>
  <c r="M51" i="3"/>
  <c r="M52" i="3"/>
  <c r="M53" i="3"/>
  <c r="M56" i="3"/>
  <c r="M57" i="3"/>
  <c r="M58" i="3"/>
  <c r="M59" i="3"/>
  <c r="M60" i="3"/>
  <c r="M63" i="3"/>
  <c r="M64" i="3"/>
  <c r="M65" i="3"/>
  <c r="M68" i="3"/>
  <c r="M69" i="3"/>
  <c r="M70" i="3"/>
  <c r="M71" i="3"/>
  <c r="M72" i="3"/>
  <c r="M75" i="3"/>
  <c r="M76" i="3"/>
  <c r="M77" i="3"/>
  <c r="M80" i="3"/>
  <c r="M81" i="3"/>
  <c r="M82" i="3"/>
  <c r="M83" i="3"/>
  <c r="M84" i="3"/>
  <c r="M87" i="3"/>
  <c r="M88" i="3"/>
  <c r="M89" i="3"/>
  <c r="M92" i="3"/>
  <c r="M93" i="3"/>
  <c r="M94" i="3"/>
  <c r="M95" i="3"/>
  <c r="M96" i="3"/>
  <c r="M99" i="3"/>
  <c r="M100" i="3"/>
  <c r="M101" i="3"/>
  <c r="M104" i="3"/>
  <c r="M105" i="3"/>
  <c r="M106" i="3"/>
  <c r="M107" i="3"/>
  <c r="M108" i="3"/>
  <c r="M111" i="3"/>
  <c r="M112" i="3"/>
  <c r="M113" i="3"/>
  <c r="M116" i="3"/>
  <c r="M117" i="3"/>
  <c r="M118" i="3"/>
  <c r="M119" i="3"/>
  <c r="M120" i="3"/>
  <c r="M123" i="3"/>
  <c r="M124" i="3"/>
  <c r="M125" i="3"/>
  <c r="M128" i="3"/>
  <c r="M129" i="3"/>
  <c r="M130" i="3"/>
  <c r="M131" i="3"/>
  <c r="M132" i="3"/>
  <c r="M135" i="3"/>
  <c r="M136" i="3"/>
  <c r="M137" i="3"/>
  <c r="M140" i="3"/>
  <c r="M141" i="3"/>
  <c r="M142" i="3"/>
  <c r="M143" i="3"/>
  <c r="M144" i="3"/>
  <c r="M147" i="3"/>
  <c r="M148" i="3"/>
  <c r="M149" i="3"/>
  <c r="M152" i="3"/>
  <c r="M153" i="3"/>
  <c r="M154" i="3"/>
  <c r="M155" i="3"/>
  <c r="M156" i="3"/>
  <c r="M159" i="3"/>
  <c r="M160" i="3"/>
  <c r="M161" i="3"/>
  <c r="M164" i="3"/>
  <c r="M165" i="3"/>
  <c r="M166" i="3"/>
  <c r="M167" i="3"/>
  <c r="M168" i="3"/>
  <c r="M171" i="3"/>
  <c r="M172" i="3"/>
  <c r="M173" i="3"/>
  <c r="M176" i="3"/>
  <c r="M177" i="3"/>
  <c r="M178" i="3"/>
  <c r="M179" i="3"/>
  <c r="M180" i="3"/>
  <c r="M183" i="3"/>
  <c r="M184" i="3"/>
  <c r="M185" i="3"/>
  <c r="M188" i="3"/>
  <c r="M189" i="3"/>
  <c r="M190" i="3"/>
  <c r="M191" i="3"/>
  <c r="M192" i="3"/>
  <c r="M195" i="3"/>
  <c r="M196" i="3"/>
  <c r="M197" i="3"/>
  <c r="M199" i="3"/>
  <c r="M200" i="3"/>
  <c r="M201" i="3"/>
  <c r="M202" i="3"/>
  <c r="M203" i="3"/>
  <c r="M204" i="3"/>
  <c r="M207" i="3"/>
  <c r="M208" i="3"/>
  <c r="M209" i="3"/>
  <c r="M211" i="3"/>
  <c r="M212" i="3"/>
  <c r="M213" i="3"/>
  <c r="M214" i="3"/>
  <c r="M215" i="3"/>
  <c r="M216" i="3"/>
  <c r="M219" i="3"/>
  <c r="M220" i="3"/>
  <c r="M221" i="3"/>
  <c r="M223" i="3"/>
  <c r="M224" i="3"/>
  <c r="M225" i="3"/>
  <c r="M226" i="3"/>
  <c r="M227" i="3"/>
  <c r="M228" i="3"/>
  <c r="M231" i="3"/>
  <c r="M232" i="3"/>
  <c r="M233" i="3"/>
  <c r="M235" i="3"/>
  <c r="M236" i="3"/>
  <c r="M237" i="3"/>
  <c r="M238" i="3"/>
  <c r="M239" i="3"/>
  <c r="M240" i="3"/>
  <c r="M243" i="3"/>
  <c r="M244" i="3"/>
  <c r="M245" i="3"/>
  <c r="M247" i="3"/>
  <c r="M248" i="3"/>
  <c r="M249" i="3"/>
  <c r="M250" i="3"/>
  <c r="M251" i="3"/>
  <c r="M252" i="3"/>
  <c r="M255" i="3"/>
  <c r="M256" i="3"/>
  <c r="M257" i="3"/>
  <c r="M259" i="3"/>
  <c r="M260" i="3"/>
  <c r="M261" i="3"/>
  <c r="M262" i="3"/>
  <c r="M263" i="3"/>
  <c r="M264" i="3"/>
  <c r="M267" i="3"/>
  <c r="M268" i="3"/>
  <c r="M269" i="3"/>
  <c r="M271" i="3"/>
  <c r="M272" i="3"/>
  <c r="M273" i="3"/>
  <c r="M274" i="3"/>
  <c r="M275" i="3"/>
  <c r="M276" i="3"/>
  <c r="M279" i="3"/>
  <c r="M280" i="3"/>
  <c r="M281" i="3"/>
  <c r="M283" i="3"/>
  <c r="M284" i="3"/>
  <c r="M285" i="3"/>
  <c r="M286" i="3"/>
  <c r="M287" i="3"/>
  <c r="M288" i="3"/>
  <c r="M291" i="3"/>
  <c r="M292" i="3"/>
  <c r="M293" i="3"/>
  <c r="M295" i="3"/>
  <c r="M296" i="3"/>
  <c r="M297" i="3"/>
  <c r="M298" i="3"/>
  <c r="M299" i="3"/>
  <c r="M300" i="3"/>
  <c r="M303" i="3"/>
  <c r="M304" i="3"/>
  <c r="M305" i="3"/>
  <c r="M307" i="3"/>
  <c r="M308" i="3"/>
  <c r="M309" i="3"/>
  <c r="M310" i="3"/>
  <c r="M311" i="3"/>
  <c r="M312" i="3"/>
  <c r="M315" i="3"/>
  <c r="M316" i="3"/>
  <c r="M317" i="3"/>
  <c r="M319" i="3"/>
  <c r="M320" i="3"/>
  <c r="M321" i="3"/>
  <c r="M322" i="3"/>
  <c r="M323" i="3"/>
  <c r="M324" i="3"/>
  <c r="M327" i="3"/>
  <c r="M328" i="3"/>
  <c r="M329" i="3"/>
  <c r="M331" i="3"/>
  <c r="M332" i="3"/>
  <c r="M333" i="3"/>
  <c r="M334" i="3"/>
  <c r="M335" i="3"/>
  <c r="M336" i="3"/>
  <c r="M339" i="3"/>
  <c r="M340" i="3"/>
  <c r="M341" i="3"/>
  <c r="M343" i="3"/>
  <c r="M344" i="3"/>
  <c r="M345" i="3"/>
  <c r="M346" i="3"/>
  <c r="M347" i="3"/>
  <c r="M348" i="3"/>
  <c r="M351" i="3"/>
  <c r="M35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22" i="3"/>
  <c r="N88" i="3" l="1"/>
  <c r="O88" i="3" s="1"/>
  <c r="N255" i="3"/>
  <c r="O255" i="3" s="1"/>
  <c r="N261" i="3"/>
  <c r="O261" i="3" s="1"/>
  <c r="N273" i="3"/>
  <c r="O273" i="3" s="1"/>
  <c r="N66" i="3"/>
  <c r="O66" i="3" s="1"/>
  <c r="N54" i="3"/>
  <c r="O54" i="3" s="1"/>
  <c r="N42" i="3"/>
  <c r="O42" i="3" s="1"/>
  <c r="N30" i="3"/>
  <c r="O30" i="3" s="1"/>
  <c r="N78" i="3"/>
  <c r="O78" i="3" s="1"/>
  <c r="N65" i="3"/>
  <c r="O65" i="3" s="1"/>
  <c r="N53" i="3"/>
  <c r="O53" i="3" s="1"/>
  <c r="N41" i="3"/>
  <c r="O41" i="3" s="1"/>
  <c r="N29" i="3"/>
  <c r="O29" i="3" s="1"/>
  <c r="N348" i="3"/>
  <c r="O348" i="3" s="1"/>
  <c r="N336" i="3"/>
  <c r="O336" i="3" s="1"/>
  <c r="N324" i="3"/>
  <c r="O324" i="3" s="1"/>
  <c r="N288" i="3"/>
  <c r="O288" i="3" s="1"/>
  <c r="N252" i="3"/>
  <c r="O252" i="3" s="1"/>
  <c r="N240" i="3"/>
  <c r="O240" i="3" s="1"/>
  <c r="N216" i="3"/>
  <c r="O216" i="3" s="1"/>
  <c r="N342" i="3"/>
  <c r="O342" i="3" s="1"/>
  <c r="N330" i="3"/>
  <c r="O330" i="3" s="1"/>
  <c r="N318" i="3"/>
  <c r="O318" i="3" s="1"/>
  <c r="N306" i="3"/>
  <c r="O306" i="3" s="1"/>
  <c r="N294" i="3"/>
  <c r="O294" i="3" s="1"/>
  <c r="N282" i="3"/>
  <c r="O282" i="3" s="1"/>
  <c r="N270" i="3"/>
  <c r="O270" i="3" s="1"/>
  <c r="N258" i="3"/>
  <c r="O258" i="3" s="1"/>
  <c r="N246" i="3"/>
  <c r="O246" i="3" s="1"/>
  <c r="N234" i="3"/>
  <c r="O234" i="3" s="1"/>
  <c r="N222" i="3"/>
  <c r="O222" i="3" s="1"/>
  <c r="N210" i="3"/>
  <c r="O210" i="3" s="1"/>
  <c r="N198" i="3"/>
  <c r="O198" i="3" s="1"/>
  <c r="N186" i="3"/>
  <c r="O186" i="3" s="1"/>
  <c r="N174" i="3"/>
  <c r="O174" i="3" s="1"/>
  <c r="N162" i="3"/>
  <c r="O162" i="3" s="1"/>
  <c r="N138" i="3"/>
  <c r="O138" i="3" s="1"/>
  <c r="N126" i="3"/>
  <c r="O126" i="3" s="1"/>
  <c r="N114" i="3"/>
  <c r="O114" i="3" s="1"/>
  <c r="N102" i="3"/>
  <c r="O102" i="3" s="1"/>
  <c r="N90" i="3"/>
  <c r="O90" i="3" s="1"/>
  <c r="N341" i="3"/>
  <c r="O341" i="3" s="1"/>
  <c r="N329" i="3"/>
  <c r="O329" i="3" s="1"/>
  <c r="N317" i="3"/>
  <c r="O317" i="3" s="1"/>
  <c r="N293" i="3"/>
  <c r="O293" i="3" s="1"/>
  <c r="N281" i="3"/>
  <c r="O281" i="3" s="1"/>
  <c r="N269" i="3"/>
  <c r="O269" i="3" s="1"/>
  <c r="N257" i="3"/>
  <c r="O257" i="3" s="1"/>
  <c r="N245" i="3"/>
  <c r="O245" i="3" s="1"/>
  <c r="N233" i="3"/>
  <c r="O233" i="3" s="1"/>
  <c r="N185" i="3"/>
  <c r="O185" i="3" s="1"/>
  <c r="N221" i="3"/>
  <c r="O221" i="3" s="1"/>
  <c r="N209" i="3"/>
  <c r="O209" i="3" s="1"/>
  <c r="N197" i="3"/>
  <c r="O197" i="3" s="1"/>
  <c r="N173" i="3"/>
  <c r="O173" i="3" s="1"/>
  <c r="N161" i="3"/>
  <c r="O161" i="3" s="1"/>
  <c r="N149" i="3"/>
  <c r="O149" i="3" s="1"/>
  <c r="N137" i="3"/>
  <c r="O137" i="3" s="1"/>
  <c r="N125" i="3"/>
  <c r="O125" i="3" s="1"/>
  <c r="N113" i="3"/>
  <c r="O113" i="3" s="1"/>
  <c r="N101" i="3"/>
  <c r="O101" i="3" s="1"/>
  <c r="N89" i="3"/>
  <c r="O89" i="3" s="1"/>
  <c r="N77" i="3"/>
  <c r="O77" i="3" s="1"/>
  <c r="N335" i="3"/>
  <c r="O335" i="3" s="1"/>
  <c r="N311" i="3"/>
  <c r="O311" i="3" s="1"/>
  <c r="N299" i="3"/>
  <c r="O299" i="3" s="1"/>
  <c r="N287" i="3"/>
  <c r="O287" i="3" s="1"/>
  <c r="N251" i="3"/>
  <c r="O251" i="3" s="1"/>
  <c r="N239" i="3"/>
  <c r="O239" i="3" s="1"/>
  <c r="N227" i="3"/>
  <c r="O227" i="3" s="1"/>
  <c r="N215" i="3"/>
  <c r="O215" i="3" s="1"/>
  <c r="N191" i="3"/>
  <c r="O191" i="3" s="1"/>
  <c r="N179" i="3"/>
  <c r="O179" i="3" s="1"/>
  <c r="N167" i="3"/>
  <c r="O167" i="3" s="1"/>
  <c r="N155" i="3"/>
  <c r="O155" i="3" s="1"/>
  <c r="N143" i="3"/>
  <c r="O143" i="3" s="1"/>
  <c r="N131" i="3"/>
  <c r="O131" i="3" s="1"/>
  <c r="N119" i="3"/>
  <c r="O119" i="3" s="1"/>
  <c r="N107" i="3"/>
  <c r="O107" i="3" s="1"/>
  <c r="N95" i="3"/>
  <c r="O95" i="3" s="1"/>
  <c r="N83" i="3"/>
  <c r="O83" i="3" s="1"/>
  <c r="N71" i="3"/>
  <c r="O71" i="3" s="1"/>
  <c r="N59" i="3"/>
  <c r="O59" i="3" s="1"/>
  <c r="N47" i="3"/>
  <c r="O47" i="3" s="1"/>
  <c r="N23" i="3"/>
  <c r="O23" i="3" s="1"/>
  <c r="N340" i="3"/>
  <c r="O340" i="3" s="1"/>
  <c r="N346" i="3"/>
  <c r="O346" i="3" s="1"/>
  <c r="N334" i="3"/>
  <c r="O334" i="3" s="1"/>
  <c r="N322" i="3"/>
  <c r="O322" i="3" s="1"/>
  <c r="N310" i="3"/>
  <c r="O310" i="3" s="1"/>
  <c r="N298" i="3"/>
  <c r="O298" i="3" s="1"/>
  <c r="N286" i="3"/>
  <c r="O286" i="3" s="1"/>
  <c r="N262" i="3"/>
  <c r="O262" i="3" s="1"/>
  <c r="N238" i="3"/>
  <c r="O238" i="3" s="1"/>
  <c r="N226" i="3"/>
  <c r="O226" i="3" s="1"/>
  <c r="N214" i="3"/>
  <c r="O214" i="3" s="1"/>
  <c r="N202" i="3"/>
  <c r="O202" i="3" s="1"/>
  <c r="N190" i="3"/>
  <c r="O190" i="3" s="1"/>
  <c r="N166" i="3"/>
  <c r="O166" i="3" s="1"/>
  <c r="N154" i="3"/>
  <c r="O154" i="3" s="1"/>
  <c r="N142" i="3"/>
  <c r="O142" i="3" s="1"/>
  <c r="N130" i="3"/>
  <c r="O130" i="3" s="1"/>
  <c r="N94" i="3"/>
  <c r="O94" i="3" s="1"/>
  <c r="N82" i="3"/>
  <c r="O82" i="3" s="1"/>
  <c r="N58" i="3"/>
  <c r="O58" i="3" s="1"/>
  <c r="N323" i="3"/>
  <c r="O323" i="3" s="1"/>
  <c r="N263" i="3"/>
  <c r="O263" i="3" s="1"/>
  <c r="N309" i="3"/>
  <c r="O309" i="3" s="1"/>
  <c r="N249" i="3"/>
  <c r="O249" i="3" s="1"/>
  <c r="N237" i="3"/>
  <c r="O237" i="3" s="1"/>
  <c r="N225" i="3"/>
  <c r="O225" i="3" s="1"/>
  <c r="N201" i="3"/>
  <c r="O201" i="3" s="1"/>
  <c r="N189" i="3"/>
  <c r="O189" i="3" s="1"/>
  <c r="N165" i="3"/>
  <c r="O165" i="3" s="1"/>
  <c r="N153" i="3"/>
  <c r="O153" i="3" s="1"/>
  <c r="N129" i="3"/>
  <c r="O129" i="3" s="1"/>
  <c r="N93" i="3"/>
  <c r="O93" i="3" s="1"/>
  <c r="N81" i="3"/>
  <c r="O81" i="3" s="1"/>
  <c r="N69" i="3"/>
  <c r="O69" i="3" s="1"/>
  <c r="N57" i="3"/>
  <c r="O57" i="3" s="1"/>
  <c r="N80" i="3"/>
  <c r="O80" i="3" s="1"/>
  <c r="N87" i="3"/>
  <c r="O87" i="3" s="1"/>
  <c r="N316" i="3"/>
  <c r="O316" i="3" s="1"/>
  <c r="N304" i="3"/>
  <c r="O304" i="3" s="1"/>
  <c r="N292" i="3"/>
  <c r="O292" i="3" s="1"/>
  <c r="N268" i="3"/>
  <c r="O268" i="3" s="1"/>
  <c r="N256" i="3"/>
  <c r="O256" i="3" s="1"/>
  <c r="N244" i="3"/>
  <c r="O244" i="3" s="1"/>
  <c r="N232" i="3"/>
  <c r="O232" i="3" s="1"/>
  <c r="N208" i="3"/>
  <c r="O208" i="3" s="1"/>
  <c r="N196" i="3"/>
  <c r="O196" i="3" s="1"/>
  <c r="N184" i="3"/>
  <c r="O184" i="3" s="1"/>
  <c r="N172" i="3"/>
  <c r="O172" i="3" s="1"/>
  <c r="N160" i="3"/>
  <c r="O160" i="3" s="1"/>
  <c r="N148" i="3"/>
  <c r="O148" i="3" s="1"/>
  <c r="N136" i="3"/>
  <c r="O136" i="3" s="1"/>
  <c r="N124" i="3"/>
  <c r="O124" i="3" s="1"/>
  <c r="N112" i="3"/>
  <c r="O112" i="3" s="1"/>
  <c r="N100" i="3"/>
  <c r="O100" i="3" s="1"/>
  <c r="N76" i="3"/>
  <c r="O76" i="3" s="1"/>
  <c r="N51" i="3"/>
  <c r="O51" i="3" s="1"/>
  <c r="N328" i="3"/>
  <c r="O328" i="3" s="1"/>
  <c r="N220" i="3"/>
  <c r="O220" i="3" s="1"/>
  <c r="N290" i="3"/>
  <c r="O290" i="3" s="1"/>
  <c r="N278" i="3"/>
  <c r="O278" i="3" s="1"/>
  <c r="N218" i="3"/>
  <c r="O218" i="3" s="1"/>
  <c r="N277" i="3"/>
  <c r="O277" i="3" s="1"/>
  <c r="N34" i="3"/>
  <c r="O34" i="3" s="1"/>
  <c r="N117" i="3"/>
  <c r="O117" i="3" s="1"/>
  <c r="N44" i="3"/>
  <c r="O44" i="3" s="1"/>
  <c r="N352" i="3"/>
  <c r="O352" i="3" s="1"/>
  <c r="N331" i="3"/>
  <c r="O331" i="3" s="1"/>
  <c r="N319" i="3"/>
  <c r="O319" i="3" s="1"/>
  <c r="N295" i="3"/>
  <c r="O295" i="3" s="1"/>
  <c r="N271" i="3"/>
  <c r="O271" i="3" s="1"/>
  <c r="N247" i="3"/>
  <c r="O247" i="3" s="1"/>
  <c r="N235" i="3"/>
  <c r="O235" i="3" s="1"/>
  <c r="N211" i="3"/>
  <c r="O211" i="3" s="1"/>
  <c r="N199" i="3"/>
  <c r="O199" i="3" s="1"/>
  <c r="N175" i="3"/>
  <c r="O175" i="3" s="1"/>
  <c r="N163" i="3"/>
  <c r="O163" i="3" s="1"/>
  <c r="N139" i="3"/>
  <c r="O139" i="3" s="1"/>
  <c r="N127" i="3"/>
  <c r="O127" i="3" s="1"/>
  <c r="N103" i="3"/>
  <c r="O103" i="3" s="1"/>
  <c r="N79" i="3"/>
  <c r="O79" i="3" s="1"/>
  <c r="N349" i="3"/>
  <c r="O349" i="3" s="1"/>
  <c r="N337" i="3"/>
  <c r="O337" i="3" s="1"/>
  <c r="N325" i="3"/>
  <c r="O325" i="3" s="1"/>
  <c r="N313" i="3"/>
  <c r="O313" i="3" s="1"/>
  <c r="N301" i="3"/>
  <c r="O301" i="3" s="1"/>
  <c r="N289" i="3"/>
  <c r="O289" i="3" s="1"/>
  <c r="N265" i="3"/>
  <c r="O265" i="3" s="1"/>
  <c r="N253" i="3"/>
  <c r="O253" i="3" s="1"/>
  <c r="N241" i="3"/>
  <c r="O241" i="3" s="1"/>
  <c r="N169" i="3"/>
  <c r="O169" i="3" s="1"/>
  <c r="N157" i="3"/>
  <c r="O157" i="3" s="1"/>
  <c r="N145" i="3"/>
  <c r="O145" i="3" s="1"/>
  <c r="N133" i="3"/>
  <c r="O133" i="3" s="1"/>
  <c r="N121" i="3"/>
  <c r="O121" i="3" s="1"/>
  <c r="N109" i="3"/>
  <c r="O109" i="3" s="1"/>
  <c r="N97" i="3"/>
  <c r="O97" i="3" s="1"/>
  <c r="N85" i="3"/>
  <c r="O85" i="3" s="1"/>
  <c r="N73" i="3"/>
  <c r="O73" i="3" s="1"/>
  <c r="N61" i="3"/>
  <c r="O61" i="3" s="1"/>
  <c r="N49" i="3"/>
  <c r="O49" i="3" s="1"/>
  <c r="N37" i="3"/>
  <c r="O37" i="3" s="1"/>
  <c r="N25" i="3"/>
  <c r="O25" i="3" s="1"/>
  <c r="N291" i="3"/>
  <c r="O291" i="3" s="1"/>
  <c r="N123" i="3"/>
  <c r="O123" i="3" s="1"/>
  <c r="N343" i="3"/>
  <c r="O343" i="3" s="1"/>
  <c r="N307" i="3"/>
  <c r="O307" i="3" s="1"/>
  <c r="N283" i="3"/>
  <c r="O283" i="3" s="1"/>
  <c r="N259" i="3"/>
  <c r="O259" i="3" s="1"/>
  <c r="N223" i="3"/>
  <c r="O223" i="3" s="1"/>
  <c r="N187" i="3"/>
  <c r="O187" i="3" s="1"/>
  <c r="N151" i="3"/>
  <c r="O151" i="3" s="1"/>
  <c r="N115" i="3"/>
  <c r="O115" i="3" s="1"/>
  <c r="N91" i="3"/>
  <c r="O91" i="3" s="1"/>
  <c r="N22" i="3"/>
  <c r="O22" i="3" s="1"/>
  <c r="N64" i="3"/>
  <c r="O64" i="3" s="1"/>
  <c r="N52" i="3"/>
  <c r="O52" i="3" s="1"/>
  <c r="N40" i="3"/>
  <c r="O40" i="3" s="1"/>
  <c r="N28" i="3"/>
  <c r="O28" i="3" s="1"/>
  <c r="N276" i="3"/>
  <c r="O276" i="3" s="1"/>
  <c r="N204" i="3"/>
  <c r="O204" i="3" s="1"/>
  <c r="N35" i="3"/>
  <c r="O35" i="3" s="1"/>
  <c r="N275" i="3"/>
  <c r="O275" i="3" s="1"/>
  <c r="N203" i="3"/>
  <c r="O203" i="3" s="1"/>
  <c r="O2" i="3"/>
  <c r="N274" i="3"/>
  <c r="O274" i="3" s="1"/>
  <c r="N45" i="3"/>
  <c r="O45" i="3" s="1"/>
  <c r="N321" i="3"/>
  <c r="O321" i="3" s="1"/>
  <c r="N285" i="3"/>
  <c r="O285" i="3" s="1"/>
  <c r="N213" i="3"/>
  <c r="O213" i="3" s="1"/>
  <c r="N141" i="3"/>
  <c r="O141" i="3" s="1"/>
  <c r="N68" i="3"/>
  <c r="O68" i="3" s="1"/>
  <c r="N56" i="3"/>
  <c r="O56" i="3" s="1"/>
  <c r="N351" i="3"/>
  <c r="O351" i="3" s="1"/>
  <c r="N315" i="3"/>
  <c r="O315" i="3" s="1"/>
  <c r="N243" i="3"/>
  <c r="O243" i="3" s="1"/>
  <c r="N99" i="3"/>
  <c r="O99" i="3" s="1"/>
  <c r="N150" i="3"/>
  <c r="O150" i="3" s="1"/>
  <c r="N332" i="3"/>
  <c r="O332" i="3" s="1"/>
  <c r="N320" i="3"/>
  <c r="O320" i="3" s="1"/>
  <c r="N296" i="3"/>
  <c r="O296" i="3" s="1"/>
  <c r="N284" i="3"/>
  <c r="O284" i="3" s="1"/>
  <c r="N272" i="3"/>
  <c r="O272" i="3" s="1"/>
  <c r="N248" i="3"/>
  <c r="O248" i="3" s="1"/>
  <c r="N236" i="3"/>
  <c r="O236" i="3" s="1"/>
  <c r="N224" i="3"/>
  <c r="O224" i="3" s="1"/>
  <c r="N212" i="3"/>
  <c r="O212" i="3" s="1"/>
  <c r="N200" i="3"/>
  <c r="O200" i="3" s="1"/>
  <c r="N188" i="3"/>
  <c r="O188" i="3" s="1"/>
  <c r="N176" i="3"/>
  <c r="O176" i="3" s="1"/>
  <c r="N164" i="3"/>
  <c r="O164" i="3" s="1"/>
  <c r="N152" i="3"/>
  <c r="O152" i="3" s="1"/>
  <c r="N140" i="3"/>
  <c r="O140" i="3" s="1"/>
  <c r="N128" i="3"/>
  <c r="O128" i="3" s="1"/>
  <c r="N116" i="3"/>
  <c r="O116" i="3" s="1"/>
  <c r="N104" i="3"/>
  <c r="O104" i="3" s="1"/>
  <c r="N92" i="3"/>
  <c r="O92" i="3" s="1"/>
  <c r="N67" i="3"/>
  <c r="O67" i="3" s="1"/>
  <c r="N55" i="3"/>
  <c r="O55" i="3" s="1"/>
  <c r="N43" i="3"/>
  <c r="O43" i="3" s="1"/>
  <c r="N31" i="3"/>
  <c r="O31" i="3" s="1"/>
  <c r="N350" i="3"/>
  <c r="O350" i="3" s="1"/>
  <c r="N314" i="3"/>
  <c r="O314" i="3" s="1"/>
  <c r="N170" i="3"/>
  <c r="O170" i="3" s="1"/>
  <c r="N308" i="3"/>
  <c r="O308" i="3" s="1"/>
  <c r="N32" i="3"/>
  <c r="O32" i="3" s="1"/>
  <c r="N327" i="3"/>
  <c r="O327" i="3" s="1"/>
  <c r="N303" i="3"/>
  <c r="O303" i="3" s="1"/>
  <c r="N279" i="3"/>
  <c r="O279" i="3" s="1"/>
  <c r="N267" i="3"/>
  <c r="O267" i="3" s="1"/>
  <c r="N219" i="3"/>
  <c r="O219" i="3" s="1"/>
  <c r="N207" i="3"/>
  <c r="O207" i="3" s="1"/>
  <c r="N195" i="3"/>
  <c r="O195" i="3" s="1"/>
  <c r="N183" i="3"/>
  <c r="O183" i="3" s="1"/>
  <c r="N171" i="3"/>
  <c r="O171" i="3" s="1"/>
  <c r="N159" i="3"/>
  <c r="O159" i="3" s="1"/>
  <c r="N147" i="3"/>
  <c r="O147" i="3" s="1"/>
  <c r="N135" i="3"/>
  <c r="O135" i="3" s="1"/>
  <c r="N111" i="3"/>
  <c r="O111" i="3" s="1"/>
  <c r="N75" i="3"/>
  <c r="O75" i="3" s="1"/>
  <c r="N63" i="3"/>
  <c r="O63" i="3" s="1"/>
  <c r="N39" i="3"/>
  <c r="O39" i="3" s="1"/>
  <c r="N27" i="3"/>
  <c r="O27" i="3" s="1"/>
  <c r="N266" i="3"/>
  <c r="O266" i="3" s="1"/>
  <c r="N242" i="3"/>
  <c r="O242" i="3" s="1"/>
  <c r="N182" i="3"/>
  <c r="O182" i="3" s="1"/>
  <c r="N134" i="3"/>
  <c r="O134" i="3" s="1"/>
  <c r="N98" i="3"/>
  <c r="O98" i="3" s="1"/>
  <c r="N264" i="3"/>
  <c r="O264" i="3" s="1"/>
  <c r="N339" i="3"/>
  <c r="O339" i="3" s="1"/>
  <c r="N231" i="3"/>
  <c r="O231" i="3" s="1"/>
  <c r="N338" i="3"/>
  <c r="O338" i="3" s="1"/>
  <c r="N326" i="3"/>
  <c r="O326" i="3" s="1"/>
  <c r="N302" i="3"/>
  <c r="O302" i="3" s="1"/>
  <c r="N254" i="3"/>
  <c r="O254" i="3" s="1"/>
  <c r="N230" i="3"/>
  <c r="O230" i="3" s="1"/>
  <c r="N206" i="3"/>
  <c r="O206" i="3" s="1"/>
  <c r="N194" i="3"/>
  <c r="O194" i="3" s="1"/>
  <c r="N158" i="3"/>
  <c r="O158" i="3" s="1"/>
  <c r="N146" i="3"/>
  <c r="O146" i="3" s="1"/>
  <c r="N122" i="3"/>
  <c r="O122" i="3" s="1"/>
  <c r="N110" i="3"/>
  <c r="O110" i="3" s="1"/>
  <c r="N86" i="3"/>
  <c r="O86" i="3" s="1"/>
  <c r="N300" i="3"/>
  <c r="O300" i="3" s="1"/>
  <c r="N228" i="3"/>
  <c r="O228" i="3" s="1"/>
  <c r="N180" i="3"/>
  <c r="O180" i="3" s="1"/>
  <c r="N106" i="3"/>
  <c r="O106" i="3" s="1"/>
  <c r="N70" i="3"/>
  <c r="O70" i="3" s="1"/>
  <c r="N217" i="3"/>
  <c r="O217" i="3" s="1"/>
  <c r="N193" i="3"/>
  <c r="O193" i="3" s="1"/>
  <c r="N168" i="3"/>
  <c r="O168" i="3" s="1"/>
  <c r="N144" i="3"/>
  <c r="O144" i="3" s="1"/>
  <c r="N132" i="3"/>
  <c r="O132" i="3" s="1"/>
  <c r="N108" i="3"/>
  <c r="O108" i="3" s="1"/>
  <c r="N96" i="3"/>
  <c r="O96" i="3" s="1"/>
  <c r="N84" i="3"/>
  <c r="O84" i="3" s="1"/>
  <c r="N72" i="3"/>
  <c r="O72" i="3" s="1"/>
  <c r="N60" i="3"/>
  <c r="O60" i="3" s="1"/>
  <c r="N36" i="3"/>
  <c r="O36" i="3" s="1"/>
  <c r="N250" i="3"/>
  <c r="O250" i="3" s="1"/>
  <c r="N178" i="3"/>
  <c r="O178" i="3" s="1"/>
  <c r="N118" i="3"/>
  <c r="O118" i="3" s="1"/>
  <c r="N46" i="3"/>
  <c r="O46" i="3" s="1"/>
  <c r="N305" i="3"/>
  <c r="O305" i="3" s="1"/>
  <c r="N74" i="3"/>
  <c r="O74" i="3" s="1"/>
  <c r="N62" i="3"/>
  <c r="O62" i="3" s="1"/>
  <c r="N50" i="3"/>
  <c r="O50" i="3" s="1"/>
  <c r="N38" i="3"/>
  <c r="O38" i="3" s="1"/>
  <c r="N26" i="3"/>
  <c r="O26" i="3" s="1"/>
  <c r="N229" i="3"/>
  <c r="O229" i="3" s="1"/>
  <c r="N205" i="3"/>
  <c r="O205" i="3" s="1"/>
  <c r="N181" i="3"/>
  <c r="O181" i="3" s="1"/>
  <c r="N312" i="3"/>
  <c r="O312" i="3" s="1"/>
  <c r="N192" i="3"/>
  <c r="O192" i="3" s="1"/>
  <c r="N156" i="3"/>
  <c r="O156" i="3" s="1"/>
  <c r="N120" i="3"/>
  <c r="O120" i="3" s="1"/>
  <c r="N48" i="3"/>
  <c r="O48" i="3" s="1"/>
  <c r="N345" i="3"/>
  <c r="O345" i="3" s="1"/>
  <c r="N333" i="3"/>
  <c r="O333" i="3" s="1"/>
  <c r="N297" i="3"/>
  <c r="O297" i="3" s="1"/>
  <c r="N177" i="3"/>
  <c r="O177" i="3" s="1"/>
  <c r="N105" i="3"/>
  <c r="O105" i="3" s="1"/>
  <c r="N33" i="3"/>
  <c r="O33" i="3" s="1"/>
  <c r="N280" i="3"/>
  <c r="O280" i="3" s="1"/>
  <c r="N24" i="3"/>
  <c r="O24" i="3" s="1"/>
  <c r="N347" i="3"/>
  <c r="O347" i="3" s="1"/>
  <c r="N344" i="3"/>
  <c r="O344" i="3" s="1"/>
  <c r="N260" i="3"/>
  <c r="O260" i="3" s="1"/>
</calcChain>
</file>

<file path=xl/sharedStrings.xml><?xml version="1.0" encoding="utf-8"?>
<sst xmlns="http://schemas.openxmlformats.org/spreadsheetml/2006/main" count="1798" uniqueCount="50">
  <si>
    <t>OrderID</t>
  </si>
  <si>
    <t>OrderDate</t>
  </si>
  <si>
    <t>Region</t>
  </si>
  <si>
    <t>CustomerID</t>
  </si>
  <si>
    <t>Category</t>
  </si>
  <si>
    <t>Product</t>
  </si>
  <si>
    <t>Quantity</t>
  </si>
  <si>
    <t>UnitPrice</t>
  </si>
  <si>
    <t>North</t>
  </si>
  <si>
    <t>C001</t>
  </si>
  <si>
    <t>Electronics</t>
  </si>
  <si>
    <t>Laptop</t>
  </si>
  <si>
    <t>West</t>
  </si>
  <si>
    <t>C002</t>
  </si>
  <si>
    <t>Furniture</t>
  </si>
  <si>
    <t>Chair</t>
  </si>
  <si>
    <t>South</t>
  </si>
  <si>
    <t>C003</t>
  </si>
  <si>
    <t>Smartphone</t>
  </si>
  <si>
    <t>East</t>
  </si>
  <si>
    <t>C004</t>
  </si>
  <si>
    <t>Clothing</t>
  </si>
  <si>
    <t>Jacket</t>
  </si>
  <si>
    <t>Table</t>
  </si>
  <si>
    <t>C005</t>
  </si>
  <si>
    <t>Headphones</t>
  </si>
  <si>
    <t>Shoes</t>
  </si>
  <si>
    <t>C006</t>
  </si>
  <si>
    <t>C007</t>
  </si>
  <si>
    <t>Sofa</t>
  </si>
  <si>
    <t>T-shirt</t>
  </si>
  <si>
    <t>C008</t>
  </si>
  <si>
    <t>C009</t>
  </si>
  <si>
    <t>C010</t>
  </si>
  <si>
    <t>Total</t>
  </si>
  <si>
    <t>Jan</t>
  </si>
  <si>
    <t>Feb</t>
  </si>
  <si>
    <t>Month</t>
  </si>
  <si>
    <t>Sum of OrderID</t>
  </si>
  <si>
    <t>Row Labels</t>
  </si>
  <si>
    <t>Grand Total</t>
  </si>
  <si>
    <t>Sum of Total</t>
  </si>
  <si>
    <t>Sum of Quantity</t>
  </si>
  <si>
    <t>01</t>
  </si>
  <si>
    <t>02</t>
  </si>
  <si>
    <t>UnitCost</t>
  </si>
  <si>
    <t>Discount%</t>
  </si>
  <si>
    <t>Amount discounted</t>
  </si>
  <si>
    <t xml:space="preserve">Revenue after discount 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</si>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</sst>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/>
    <xf numFmtId="164" fontId="0" fillId="0" borderId="0" xfId="0" applyNumberFormat="1"/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efficio Solutions" refreshedDate="46079.625001273147" createdVersion="8" refreshedVersion="8" minRefreshableVersion="3" recordCount="351" xr:uid="{CDEE840C-B30B-4697-82D2-C703CB75520C}">
  <cacheSource type="worksheet">
    <worksheetSource ref="A1:J352" sheet="Main "/>
  </cacheSource>
  <cacheFields count="12">
    <cacheField name="OrderID" numFmtId="0">
      <sharedItems containsSemiMixedTypes="0" containsString="0" containsNumber="1" containsInteger="1" minValue="1001" maxValue="1351"/>
    </cacheField>
    <cacheField name="OrderDate" numFmtId="14">
      <sharedItems containsSemiMixedTypes="0" containsNonDate="0" containsDate="1" containsString="0" minDate="2025-01-03T00:00:00" maxDate="2025-02-23T00:00:00" count="20">
        <d v="2025-01-03T00:00:00"/>
        <d v="2025-01-05T00:00:00"/>
        <d v="2025-01-06T00:00:00"/>
        <d v="2025-01-07T00:00:00"/>
        <d v="2025-01-10T00:00:00"/>
        <d v="2025-01-11T00:00:00"/>
        <d v="2025-01-13T00:00:00"/>
        <d v="2025-01-15T00:00:00"/>
        <d v="2025-01-18T00:00:00"/>
        <d v="2025-01-20T00:00:00"/>
        <d v="2025-02-02T00:00:00"/>
        <d v="2025-02-04T00:00:00"/>
        <d v="2025-02-06T00:00:00"/>
        <d v="2025-02-08T00:00:00"/>
        <d v="2025-02-10T00:00:00"/>
        <d v="2025-02-12T00:00:00"/>
        <d v="2025-02-15T00:00:00"/>
        <d v="2025-02-18T00:00:00"/>
        <d v="2025-02-20T00:00:00"/>
        <d v="2025-02-22T00:00:00"/>
      </sharedItems>
      <fieldGroup par="11"/>
    </cacheField>
    <cacheField name="Region" numFmtId="0">
      <sharedItems count="4">
        <s v="North"/>
        <s v="West"/>
        <s v="South"/>
        <s v="East"/>
      </sharedItems>
    </cacheField>
    <cacheField name="Customer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800" maxValue="60000"/>
    </cacheField>
    <cacheField name="Total" numFmtId="0">
      <sharedItems containsSemiMixedTypes="0" containsString="0" containsNumber="1" containsInteger="1" minValue="800" maxValue="600000"/>
    </cacheField>
    <cacheField name="Month" numFmtId="0">
      <sharedItems/>
    </cacheField>
    <cacheField name="Days (OrderDate)" numFmtId="0" databaseField="0">
      <fieldGroup base="1">
        <rangePr groupBy="days" startDate="2025-01-03T00:00:00" endDate="2025-02-23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2-2025"/>
        </groupItems>
      </fieldGroup>
    </cacheField>
    <cacheField name="Months (OrderDate)" numFmtId="0" databaseField="0">
      <fieldGroup base="1">
        <rangePr groupBy="months" startDate="2025-01-03T00:00:00" endDate="2025-02-23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1001"/>
    <x v="0"/>
    <x v="0"/>
    <x v="0"/>
    <s v="Electronics"/>
    <s v="Laptop"/>
    <n v="2"/>
    <n v="55000"/>
    <n v="110000"/>
    <s v="01"/>
  </r>
  <r>
    <n v="1002"/>
    <x v="1"/>
    <x v="1"/>
    <x v="1"/>
    <s v="Furniture"/>
    <s v="Chair"/>
    <n v="5"/>
    <n v="3500"/>
    <n v="17500"/>
    <s v="01"/>
  </r>
  <r>
    <n v="1003"/>
    <x v="2"/>
    <x v="2"/>
    <x v="2"/>
    <s v="Electronics"/>
    <s v="Smartphone"/>
    <n v="3"/>
    <n v="22000"/>
    <n v="66000"/>
    <s v="01"/>
  </r>
  <r>
    <n v="1004"/>
    <x v="3"/>
    <x v="3"/>
    <x v="3"/>
    <s v="Clothing"/>
    <s v="Jacket"/>
    <n v="4"/>
    <n v="2500"/>
    <n v="10000"/>
    <s v="01"/>
  </r>
  <r>
    <n v="1005"/>
    <x v="4"/>
    <x v="0"/>
    <x v="1"/>
    <s v="Furniture"/>
    <s v="Table"/>
    <n v="2"/>
    <n v="12000"/>
    <n v="24000"/>
    <s v="01"/>
  </r>
  <r>
    <n v="1006"/>
    <x v="5"/>
    <x v="1"/>
    <x v="4"/>
    <s v="Electronics"/>
    <s v="Headphones"/>
    <n v="6"/>
    <n v="2000"/>
    <n v="12000"/>
    <s v="01"/>
  </r>
  <r>
    <n v="1007"/>
    <x v="6"/>
    <x v="2"/>
    <x v="0"/>
    <s v="Clothing"/>
    <s v="Shoes"/>
    <n v="3"/>
    <n v="3000"/>
    <n v="9000"/>
    <s v="01"/>
  </r>
  <r>
    <n v="1008"/>
    <x v="7"/>
    <x v="3"/>
    <x v="5"/>
    <s v="Electronics"/>
    <s v="Laptop"/>
    <n v="1"/>
    <n v="60000"/>
    <n v="60000"/>
    <s v="01"/>
  </r>
  <r>
    <n v="1009"/>
    <x v="8"/>
    <x v="0"/>
    <x v="6"/>
    <s v="Furniture"/>
    <s v="Sofa"/>
    <n v="1"/>
    <n v="45000"/>
    <n v="45000"/>
    <s v="01"/>
  </r>
  <r>
    <n v="1010"/>
    <x v="9"/>
    <x v="1"/>
    <x v="2"/>
    <s v="Clothing"/>
    <s v="T-shirt"/>
    <n v="10"/>
    <n v="800"/>
    <n v="8000"/>
    <s v="01"/>
  </r>
  <r>
    <n v="1011"/>
    <x v="10"/>
    <x v="2"/>
    <x v="7"/>
    <s v="Electronics"/>
    <s v="Smartphone"/>
    <n v="2"/>
    <n v="21000"/>
    <n v="42000"/>
    <s v="02"/>
  </r>
  <r>
    <n v="1012"/>
    <x v="11"/>
    <x v="3"/>
    <x v="1"/>
    <s v="Furniture"/>
    <s v="Chair"/>
    <n v="3"/>
    <n v="3500"/>
    <n v="10500"/>
    <s v="02"/>
  </r>
  <r>
    <n v="1013"/>
    <x v="12"/>
    <x v="0"/>
    <x v="8"/>
    <s v="Clothing"/>
    <s v="Jacket"/>
    <n v="2"/>
    <n v="2600"/>
    <n v="5200"/>
    <s v="02"/>
  </r>
  <r>
    <n v="1014"/>
    <x v="13"/>
    <x v="1"/>
    <x v="3"/>
    <s v="Electronics"/>
    <s v="Laptop"/>
    <n v="1"/>
    <n v="58000"/>
    <n v="58000"/>
    <s v="02"/>
  </r>
  <r>
    <n v="1015"/>
    <x v="14"/>
    <x v="2"/>
    <x v="9"/>
    <s v="Furniture"/>
    <s v="Table"/>
    <n v="1"/>
    <n v="11000"/>
    <n v="11000"/>
    <s v="02"/>
  </r>
  <r>
    <n v="1016"/>
    <x v="15"/>
    <x v="3"/>
    <x v="0"/>
    <s v="Electronics"/>
    <s v="Headphones"/>
    <n v="4"/>
    <n v="2200"/>
    <n v="8800"/>
    <s v="02"/>
  </r>
  <r>
    <n v="1017"/>
    <x v="16"/>
    <x v="0"/>
    <x v="4"/>
    <s v="Clothing"/>
    <s v="Shoes"/>
    <n v="2"/>
    <n v="3200"/>
    <n v="6400"/>
    <s v="02"/>
  </r>
  <r>
    <n v="1018"/>
    <x v="17"/>
    <x v="1"/>
    <x v="5"/>
    <s v="Furniture"/>
    <s v="Sofa"/>
    <n v="1"/>
    <n v="47000"/>
    <n v="47000"/>
    <s v="02"/>
  </r>
  <r>
    <n v="1019"/>
    <x v="18"/>
    <x v="2"/>
    <x v="6"/>
    <s v="Electronics"/>
    <s v="Laptop"/>
    <n v="1"/>
    <n v="59000"/>
    <n v="59000"/>
    <s v="02"/>
  </r>
  <r>
    <n v="1020"/>
    <x v="19"/>
    <x v="3"/>
    <x v="7"/>
    <s v="Clothing"/>
    <s v="T-shirt"/>
    <n v="5"/>
    <n v="850"/>
    <n v="4250"/>
    <s v="02"/>
  </r>
  <r>
    <n v="1021"/>
    <x v="0"/>
    <x v="0"/>
    <x v="0"/>
    <s v="Electronics"/>
    <s v="Laptop"/>
    <n v="2"/>
    <n v="3500"/>
    <n v="7000"/>
    <s v="01"/>
  </r>
  <r>
    <n v="1022"/>
    <x v="1"/>
    <x v="1"/>
    <x v="1"/>
    <s v="Furniture"/>
    <s v="Chair"/>
    <n v="5"/>
    <n v="2600"/>
    <n v="13000"/>
    <s v="01"/>
  </r>
  <r>
    <n v="1023"/>
    <x v="2"/>
    <x v="2"/>
    <x v="2"/>
    <s v="Electronics"/>
    <s v="Smartphone"/>
    <n v="3"/>
    <n v="58000"/>
    <n v="174000"/>
    <s v="01"/>
  </r>
  <r>
    <n v="1024"/>
    <x v="3"/>
    <x v="3"/>
    <x v="3"/>
    <s v="Clothing"/>
    <s v="Jacket"/>
    <n v="4"/>
    <n v="11000"/>
    <n v="44000"/>
    <s v="01"/>
  </r>
  <r>
    <n v="1025"/>
    <x v="4"/>
    <x v="0"/>
    <x v="1"/>
    <s v="Furniture"/>
    <s v="Table"/>
    <n v="2"/>
    <n v="2200"/>
    <n v="4400"/>
    <s v="01"/>
  </r>
  <r>
    <n v="1026"/>
    <x v="5"/>
    <x v="1"/>
    <x v="4"/>
    <s v="Electronics"/>
    <s v="Headphones"/>
    <n v="6"/>
    <n v="3200"/>
    <n v="19200"/>
    <s v="01"/>
  </r>
  <r>
    <n v="1027"/>
    <x v="6"/>
    <x v="2"/>
    <x v="0"/>
    <s v="Clothing"/>
    <s v="Shoes"/>
    <n v="3"/>
    <n v="47000"/>
    <n v="141000"/>
    <s v="01"/>
  </r>
  <r>
    <n v="1028"/>
    <x v="7"/>
    <x v="3"/>
    <x v="5"/>
    <s v="Electronics"/>
    <s v="Laptop"/>
    <n v="1"/>
    <n v="59000"/>
    <n v="59000"/>
    <s v="01"/>
  </r>
  <r>
    <n v="1029"/>
    <x v="8"/>
    <x v="0"/>
    <x v="6"/>
    <s v="Furniture"/>
    <s v="Sofa"/>
    <n v="1"/>
    <n v="850"/>
    <n v="850"/>
    <s v="01"/>
  </r>
  <r>
    <n v="1030"/>
    <x v="9"/>
    <x v="1"/>
    <x v="2"/>
    <s v="Clothing"/>
    <s v="T-shirt"/>
    <n v="10"/>
    <n v="2500"/>
    <n v="25000"/>
    <s v="01"/>
  </r>
  <r>
    <n v="1031"/>
    <x v="10"/>
    <x v="2"/>
    <x v="7"/>
    <s v="Electronics"/>
    <s v="Smartphone"/>
    <n v="2"/>
    <n v="12000"/>
    <n v="24000"/>
    <s v="02"/>
  </r>
  <r>
    <n v="1032"/>
    <x v="11"/>
    <x v="3"/>
    <x v="1"/>
    <s v="Furniture"/>
    <s v="Chair"/>
    <n v="3"/>
    <n v="2000"/>
    <n v="6000"/>
    <s v="02"/>
  </r>
  <r>
    <n v="1033"/>
    <x v="12"/>
    <x v="0"/>
    <x v="8"/>
    <s v="Clothing"/>
    <s v="Jacket"/>
    <n v="2"/>
    <n v="3000"/>
    <n v="6000"/>
    <s v="02"/>
  </r>
  <r>
    <n v="1034"/>
    <x v="13"/>
    <x v="1"/>
    <x v="3"/>
    <s v="Electronics"/>
    <s v="Laptop"/>
    <n v="1"/>
    <n v="60000"/>
    <n v="60000"/>
    <s v="02"/>
  </r>
  <r>
    <n v="1035"/>
    <x v="14"/>
    <x v="2"/>
    <x v="9"/>
    <s v="Furniture"/>
    <s v="Table"/>
    <n v="1"/>
    <n v="45000"/>
    <n v="45000"/>
    <s v="02"/>
  </r>
  <r>
    <n v="1036"/>
    <x v="15"/>
    <x v="3"/>
    <x v="0"/>
    <s v="Electronics"/>
    <s v="Headphones"/>
    <n v="4"/>
    <n v="800"/>
    <n v="3200"/>
    <s v="02"/>
  </r>
  <r>
    <n v="1037"/>
    <x v="16"/>
    <x v="0"/>
    <x v="4"/>
    <s v="Clothing"/>
    <s v="Shoes"/>
    <n v="2"/>
    <n v="21000"/>
    <n v="42000"/>
    <s v="02"/>
  </r>
  <r>
    <n v="1038"/>
    <x v="17"/>
    <x v="1"/>
    <x v="5"/>
    <s v="Furniture"/>
    <s v="Sofa"/>
    <n v="1"/>
    <n v="3500"/>
    <n v="3500"/>
    <s v="02"/>
  </r>
  <r>
    <n v="1039"/>
    <x v="18"/>
    <x v="2"/>
    <x v="6"/>
    <s v="Electronics"/>
    <s v="Laptop"/>
    <n v="1"/>
    <n v="2600"/>
    <n v="2600"/>
    <s v="02"/>
  </r>
  <r>
    <n v="1040"/>
    <x v="19"/>
    <x v="3"/>
    <x v="7"/>
    <s v="Clothing"/>
    <s v="T-shirt"/>
    <n v="5"/>
    <n v="58000"/>
    <n v="290000"/>
    <s v="02"/>
  </r>
  <r>
    <n v="1041"/>
    <x v="0"/>
    <x v="0"/>
    <x v="0"/>
    <s v="Electronics"/>
    <s v="Laptop"/>
    <n v="2"/>
    <n v="11000"/>
    <n v="22000"/>
    <s v="01"/>
  </r>
  <r>
    <n v="1042"/>
    <x v="1"/>
    <x v="1"/>
    <x v="1"/>
    <s v="Furniture"/>
    <s v="Chair"/>
    <n v="5"/>
    <n v="2200"/>
    <n v="11000"/>
    <s v="01"/>
  </r>
  <r>
    <n v="1043"/>
    <x v="2"/>
    <x v="2"/>
    <x v="2"/>
    <s v="Electronics"/>
    <s v="Smartphone"/>
    <n v="3"/>
    <n v="55000"/>
    <n v="165000"/>
    <s v="01"/>
  </r>
  <r>
    <n v="1044"/>
    <x v="3"/>
    <x v="3"/>
    <x v="3"/>
    <s v="Clothing"/>
    <s v="Jacket"/>
    <n v="4"/>
    <n v="3500"/>
    <n v="14000"/>
    <s v="01"/>
  </r>
  <r>
    <n v="1045"/>
    <x v="4"/>
    <x v="0"/>
    <x v="1"/>
    <s v="Furniture"/>
    <s v="Table"/>
    <n v="2"/>
    <n v="22000"/>
    <n v="44000"/>
    <s v="01"/>
  </r>
  <r>
    <n v="1046"/>
    <x v="5"/>
    <x v="1"/>
    <x v="4"/>
    <s v="Electronics"/>
    <s v="Headphones"/>
    <n v="6"/>
    <n v="2500"/>
    <n v="15000"/>
    <s v="01"/>
  </r>
  <r>
    <n v="1047"/>
    <x v="6"/>
    <x v="2"/>
    <x v="0"/>
    <s v="Clothing"/>
    <s v="Shoes"/>
    <n v="3"/>
    <n v="12000"/>
    <n v="36000"/>
    <s v="01"/>
  </r>
  <r>
    <n v="1048"/>
    <x v="7"/>
    <x v="3"/>
    <x v="5"/>
    <s v="Electronics"/>
    <s v="Laptop"/>
    <n v="1"/>
    <n v="2000"/>
    <n v="2000"/>
    <s v="01"/>
  </r>
  <r>
    <n v="1049"/>
    <x v="8"/>
    <x v="0"/>
    <x v="6"/>
    <s v="Furniture"/>
    <s v="Sofa"/>
    <n v="1"/>
    <n v="3000"/>
    <n v="3000"/>
    <s v="01"/>
  </r>
  <r>
    <n v="1050"/>
    <x v="9"/>
    <x v="1"/>
    <x v="2"/>
    <s v="Clothing"/>
    <s v="T-shirt"/>
    <n v="10"/>
    <n v="60000"/>
    <n v="600000"/>
    <s v="01"/>
  </r>
  <r>
    <n v="1051"/>
    <x v="10"/>
    <x v="2"/>
    <x v="7"/>
    <s v="Electronics"/>
    <s v="Smartphone"/>
    <n v="2"/>
    <n v="45000"/>
    <n v="90000"/>
    <s v="02"/>
  </r>
  <r>
    <n v="1052"/>
    <x v="11"/>
    <x v="3"/>
    <x v="1"/>
    <s v="Furniture"/>
    <s v="Chair"/>
    <n v="3"/>
    <n v="800"/>
    <n v="2400"/>
    <s v="02"/>
  </r>
  <r>
    <n v="1053"/>
    <x v="12"/>
    <x v="0"/>
    <x v="8"/>
    <s v="Clothing"/>
    <s v="Jacket"/>
    <n v="2"/>
    <n v="21000"/>
    <n v="42000"/>
    <s v="02"/>
  </r>
  <r>
    <n v="1054"/>
    <x v="13"/>
    <x v="1"/>
    <x v="3"/>
    <s v="Electronics"/>
    <s v="Laptop"/>
    <n v="1"/>
    <n v="3500"/>
    <n v="3500"/>
    <s v="02"/>
  </r>
  <r>
    <n v="1055"/>
    <x v="14"/>
    <x v="2"/>
    <x v="9"/>
    <s v="Furniture"/>
    <s v="Table"/>
    <n v="1"/>
    <n v="2600"/>
    <n v="2600"/>
    <s v="02"/>
  </r>
  <r>
    <n v="1056"/>
    <x v="15"/>
    <x v="3"/>
    <x v="0"/>
    <s v="Electronics"/>
    <s v="Headphones"/>
    <n v="4"/>
    <n v="58000"/>
    <n v="232000"/>
    <s v="02"/>
  </r>
  <r>
    <n v="1057"/>
    <x v="16"/>
    <x v="0"/>
    <x v="4"/>
    <s v="Clothing"/>
    <s v="Shoes"/>
    <n v="2"/>
    <n v="11000"/>
    <n v="22000"/>
    <s v="02"/>
  </r>
  <r>
    <n v="1058"/>
    <x v="17"/>
    <x v="1"/>
    <x v="5"/>
    <s v="Furniture"/>
    <s v="Sofa"/>
    <n v="1"/>
    <n v="2200"/>
    <n v="2200"/>
    <s v="02"/>
  </r>
  <r>
    <n v="1059"/>
    <x v="18"/>
    <x v="2"/>
    <x v="6"/>
    <s v="Electronics"/>
    <s v="Laptop"/>
    <n v="1"/>
    <n v="3200"/>
    <n v="3200"/>
    <s v="02"/>
  </r>
  <r>
    <n v="1060"/>
    <x v="19"/>
    <x v="3"/>
    <x v="7"/>
    <s v="Clothing"/>
    <s v="T-shirt"/>
    <n v="5"/>
    <n v="47000"/>
    <n v="235000"/>
    <s v="02"/>
  </r>
  <r>
    <n v="1061"/>
    <x v="0"/>
    <x v="0"/>
    <x v="0"/>
    <s v="Electronics"/>
    <s v="Laptop"/>
    <n v="2"/>
    <n v="59000"/>
    <n v="118000"/>
    <s v="01"/>
  </r>
  <r>
    <n v="1062"/>
    <x v="1"/>
    <x v="1"/>
    <x v="1"/>
    <s v="Furniture"/>
    <s v="Chair"/>
    <n v="5"/>
    <n v="850"/>
    <n v="4250"/>
    <s v="01"/>
  </r>
  <r>
    <n v="1063"/>
    <x v="2"/>
    <x v="2"/>
    <x v="2"/>
    <s v="Electronics"/>
    <s v="Smartphone"/>
    <n v="3"/>
    <n v="3500"/>
    <n v="10500"/>
    <s v="01"/>
  </r>
  <r>
    <n v="1064"/>
    <x v="3"/>
    <x v="3"/>
    <x v="3"/>
    <s v="Clothing"/>
    <s v="Jacket"/>
    <n v="4"/>
    <n v="2600"/>
    <n v="10400"/>
    <s v="01"/>
  </r>
  <r>
    <n v="1065"/>
    <x v="4"/>
    <x v="0"/>
    <x v="1"/>
    <s v="Furniture"/>
    <s v="Table"/>
    <n v="2"/>
    <n v="58000"/>
    <n v="116000"/>
    <s v="01"/>
  </r>
  <r>
    <n v="1066"/>
    <x v="5"/>
    <x v="1"/>
    <x v="4"/>
    <s v="Electronics"/>
    <s v="Headphones"/>
    <n v="6"/>
    <n v="11000"/>
    <n v="66000"/>
    <s v="01"/>
  </r>
  <r>
    <n v="1067"/>
    <x v="6"/>
    <x v="2"/>
    <x v="0"/>
    <s v="Clothing"/>
    <s v="Shoes"/>
    <n v="3"/>
    <n v="2200"/>
    <n v="6600"/>
    <s v="01"/>
  </r>
  <r>
    <n v="1068"/>
    <x v="7"/>
    <x v="3"/>
    <x v="5"/>
    <s v="Electronics"/>
    <s v="Laptop"/>
    <n v="1"/>
    <n v="3200"/>
    <n v="3200"/>
    <s v="01"/>
  </r>
  <r>
    <n v="1069"/>
    <x v="8"/>
    <x v="0"/>
    <x v="6"/>
    <s v="Furniture"/>
    <s v="Sofa"/>
    <n v="1"/>
    <n v="47000"/>
    <n v="47000"/>
    <s v="01"/>
  </r>
  <r>
    <n v="1070"/>
    <x v="9"/>
    <x v="1"/>
    <x v="2"/>
    <s v="Clothing"/>
    <s v="T-shirt"/>
    <n v="10"/>
    <n v="59000"/>
    <n v="590000"/>
    <s v="01"/>
  </r>
  <r>
    <n v="1071"/>
    <x v="10"/>
    <x v="2"/>
    <x v="7"/>
    <s v="Electronics"/>
    <s v="Smartphone"/>
    <n v="2"/>
    <n v="850"/>
    <n v="1700"/>
    <s v="02"/>
  </r>
  <r>
    <n v="1072"/>
    <x v="11"/>
    <x v="3"/>
    <x v="1"/>
    <s v="Furniture"/>
    <s v="Chair"/>
    <n v="3"/>
    <n v="2500"/>
    <n v="7500"/>
    <s v="02"/>
  </r>
  <r>
    <n v="1073"/>
    <x v="12"/>
    <x v="0"/>
    <x v="8"/>
    <s v="Clothing"/>
    <s v="Jacket"/>
    <n v="2"/>
    <n v="12000"/>
    <n v="24000"/>
    <s v="02"/>
  </r>
  <r>
    <n v="1074"/>
    <x v="13"/>
    <x v="1"/>
    <x v="3"/>
    <s v="Electronics"/>
    <s v="Laptop"/>
    <n v="1"/>
    <n v="2000"/>
    <n v="2000"/>
    <s v="02"/>
  </r>
  <r>
    <n v="1075"/>
    <x v="14"/>
    <x v="2"/>
    <x v="9"/>
    <s v="Furniture"/>
    <s v="Table"/>
    <n v="1"/>
    <n v="3000"/>
    <n v="3000"/>
    <s v="02"/>
  </r>
  <r>
    <n v="1076"/>
    <x v="15"/>
    <x v="3"/>
    <x v="0"/>
    <s v="Electronics"/>
    <s v="Headphones"/>
    <n v="4"/>
    <n v="60000"/>
    <n v="240000"/>
    <s v="02"/>
  </r>
  <r>
    <n v="1077"/>
    <x v="16"/>
    <x v="0"/>
    <x v="4"/>
    <s v="Clothing"/>
    <s v="Shoes"/>
    <n v="2"/>
    <n v="45000"/>
    <n v="90000"/>
    <s v="02"/>
  </r>
  <r>
    <n v="1078"/>
    <x v="17"/>
    <x v="1"/>
    <x v="5"/>
    <s v="Furniture"/>
    <s v="Sofa"/>
    <n v="1"/>
    <n v="800"/>
    <n v="800"/>
    <s v="02"/>
  </r>
  <r>
    <n v="1079"/>
    <x v="18"/>
    <x v="2"/>
    <x v="6"/>
    <s v="Electronics"/>
    <s v="Laptop"/>
    <n v="1"/>
    <n v="21000"/>
    <n v="21000"/>
    <s v="02"/>
  </r>
  <r>
    <n v="1080"/>
    <x v="19"/>
    <x v="3"/>
    <x v="7"/>
    <s v="Clothing"/>
    <s v="T-shirt"/>
    <n v="5"/>
    <n v="3500"/>
    <n v="17500"/>
    <s v="02"/>
  </r>
  <r>
    <n v="1081"/>
    <x v="0"/>
    <x v="0"/>
    <x v="0"/>
    <s v="Electronics"/>
    <s v="Laptop"/>
    <n v="2"/>
    <n v="2600"/>
    <n v="5200"/>
    <s v="01"/>
  </r>
  <r>
    <n v="1082"/>
    <x v="1"/>
    <x v="1"/>
    <x v="1"/>
    <s v="Furniture"/>
    <s v="Chair"/>
    <n v="5"/>
    <n v="58000"/>
    <n v="290000"/>
    <s v="01"/>
  </r>
  <r>
    <n v="1083"/>
    <x v="2"/>
    <x v="2"/>
    <x v="2"/>
    <s v="Electronics"/>
    <s v="Smartphone"/>
    <n v="3"/>
    <n v="11000"/>
    <n v="33000"/>
    <s v="01"/>
  </r>
  <r>
    <n v="1084"/>
    <x v="3"/>
    <x v="3"/>
    <x v="3"/>
    <s v="Clothing"/>
    <s v="Jacket"/>
    <n v="4"/>
    <n v="2200"/>
    <n v="8800"/>
    <s v="01"/>
  </r>
  <r>
    <n v="1085"/>
    <x v="4"/>
    <x v="0"/>
    <x v="1"/>
    <s v="Furniture"/>
    <s v="Table"/>
    <n v="2"/>
    <n v="55000"/>
    <n v="110000"/>
    <s v="01"/>
  </r>
  <r>
    <n v="1086"/>
    <x v="5"/>
    <x v="1"/>
    <x v="4"/>
    <s v="Electronics"/>
    <s v="Headphones"/>
    <n v="6"/>
    <n v="3500"/>
    <n v="21000"/>
    <s v="01"/>
  </r>
  <r>
    <n v="1087"/>
    <x v="6"/>
    <x v="2"/>
    <x v="0"/>
    <s v="Clothing"/>
    <s v="Shoes"/>
    <n v="3"/>
    <n v="22000"/>
    <n v="66000"/>
    <s v="01"/>
  </r>
  <r>
    <n v="1088"/>
    <x v="7"/>
    <x v="3"/>
    <x v="5"/>
    <s v="Electronics"/>
    <s v="Laptop"/>
    <n v="1"/>
    <n v="2500"/>
    <n v="2500"/>
    <s v="01"/>
  </r>
  <r>
    <n v="1089"/>
    <x v="8"/>
    <x v="0"/>
    <x v="6"/>
    <s v="Furniture"/>
    <s v="Sofa"/>
    <n v="1"/>
    <n v="12000"/>
    <n v="12000"/>
    <s v="01"/>
  </r>
  <r>
    <n v="1090"/>
    <x v="9"/>
    <x v="1"/>
    <x v="2"/>
    <s v="Clothing"/>
    <s v="T-shirt"/>
    <n v="10"/>
    <n v="2000"/>
    <n v="20000"/>
    <s v="01"/>
  </r>
  <r>
    <n v="1091"/>
    <x v="10"/>
    <x v="2"/>
    <x v="7"/>
    <s v="Electronics"/>
    <s v="Smartphone"/>
    <n v="2"/>
    <n v="3000"/>
    <n v="6000"/>
    <s v="02"/>
  </r>
  <r>
    <n v="1092"/>
    <x v="11"/>
    <x v="3"/>
    <x v="1"/>
    <s v="Furniture"/>
    <s v="Chair"/>
    <n v="3"/>
    <n v="60000"/>
    <n v="180000"/>
    <s v="02"/>
  </r>
  <r>
    <n v="1093"/>
    <x v="12"/>
    <x v="0"/>
    <x v="8"/>
    <s v="Clothing"/>
    <s v="Jacket"/>
    <n v="2"/>
    <n v="45000"/>
    <n v="90000"/>
    <s v="02"/>
  </r>
  <r>
    <n v="1094"/>
    <x v="13"/>
    <x v="1"/>
    <x v="3"/>
    <s v="Electronics"/>
    <s v="Laptop"/>
    <n v="1"/>
    <n v="800"/>
    <n v="800"/>
    <s v="02"/>
  </r>
  <r>
    <n v="1095"/>
    <x v="14"/>
    <x v="2"/>
    <x v="9"/>
    <s v="Furniture"/>
    <s v="Table"/>
    <n v="1"/>
    <n v="21000"/>
    <n v="21000"/>
    <s v="02"/>
  </r>
  <r>
    <n v="1096"/>
    <x v="15"/>
    <x v="3"/>
    <x v="0"/>
    <s v="Electronics"/>
    <s v="Headphones"/>
    <n v="4"/>
    <n v="3500"/>
    <n v="14000"/>
    <s v="02"/>
  </r>
  <r>
    <n v="1097"/>
    <x v="16"/>
    <x v="0"/>
    <x v="4"/>
    <s v="Clothing"/>
    <s v="Shoes"/>
    <n v="2"/>
    <n v="2600"/>
    <n v="5200"/>
    <s v="02"/>
  </r>
  <r>
    <n v="1098"/>
    <x v="17"/>
    <x v="1"/>
    <x v="5"/>
    <s v="Furniture"/>
    <s v="Sofa"/>
    <n v="1"/>
    <n v="58000"/>
    <n v="58000"/>
    <s v="02"/>
  </r>
  <r>
    <n v="1099"/>
    <x v="18"/>
    <x v="2"/>
    <x v="6"/>
    <s v="Electronics"/>
    <s v="Laptop"/>
    <n v="1"/>
    <n v="11000"/>
    <n v="11000"/>
    <s v="02"/>
  </r>
  <r>
    <n v="1100"/>
    <x v="19"/>
    <x v="3"/>
    <x v="7"/>
    <s v="Clothing"/>
    <s v="T-shirt"/>
    <n v="5"/>
    <n v="2200"/>
    <n v="11000"/>
    <s v="02"/>
  </r>
  <r>
    <n v="1101"/>
    <x v="0"/>
    <x v="0"/>
    <x v="0"/>
    <s v="Electronics"/>
    <s v="Laptop"/>
    <n v="2"/>
    <n v="3200"/>
    <n v="6400"/>
    <s v="01"/>
  </r>
  <r>
    <n v="1102"/>
    <x v="1"/>
    <x v="1"/>
    <x v="1"/>
    <s v="Furniture"/>
    <s v="Chair"/>
    <n v="5"/>
    <n v="47000"/>
    <n v="235000"/>
    <s v="01"/>
  </r>
  <r>
    <n v="1103"/>
    <x v="2"/>
    <x v="2"/>
    <x v="2"/>
    <s v="Electronics"/>
    <s v="Smartphone"/>
    <n v="3"/>
    <n v="59000"/>
    <n v="177000"/>
    <s v="01"/>
  </r>
  <r>
    <n v="1104"/>
    <x v="3"/>
    <x v="3"/>
    <x v="3"/>
    <s v="Clothing"/>
    <s v="Jacket"/>
    <n v="4"/>
    <n v="850"/>
    <n v="3400"/>
    <s v="01"/>
  </r>
  <r>
    <n v="1105"/>
    <x v="4"/>
    <x v="0"/>
    <x v="1"/>
    <s v="Furniture"/>
    <s v="Table"/>
    <n v="2"/>
    <n v="3500"/>
    <n v="7000"/>
    <s v="01"/>
  </r>
  <r>
    <n v="1106"/>
    <x v="5"/>
    <x v="1"/>
    <x v="4"/>
    <s v="Electronics"/>
    <s v="Headphones"/>
    <n v="6"/>
    <n v="2600"/>
    <n v="15600"/>
    <s v="01"/>
  </r>
  <r>
    <n v="1107"/>
    <x v="6"/>
    <x v="2"/>
    <x v="0"/>
    <s v="Clothing"/>
    <s v="Shoes"/>
    <n v="3"/>
    <n v="58000"/>
    <n v="174000"/>
    <s v="01"/>
  </r>
  <r>
    <n v="1108"/>
    <x v="7"/>
    <x v="3"/>
    <x v="5"/>
    <s v="Electronics"/>
    <s v="Laptop"/>
    <n v="1"/>
    <n v="11000"/>
    <n v="11000"/>
    <s v="01"/>
  </r>
  <r>
    <n v="1109"/>
    <x v="8"/>
    <x v="0"/>
    <x v="6"/>
    <s v="Furniture"/>
    <s v="Sofa"/>
    <n v="1"/>
    <n v="2200"/>
    <n v="2200"/>
    <s v="01"/>
  </r>
  <r>
    <n v="1110"/>
    <x v="9"/>
    <x v="1"/>
    <x v="2"/>
    <s v="Clothing"/>
    <s v="T-shirt"/>
    <n v="10"/>
    <n v="3200"/>
    <n v="32000"/>
    <s v="01"/>
  </r>
  <r>
    <n v="1111"/>
    <x v="10"/>
    <x v="2"/>
    <x v="7"/>
    <s v="Electronics"/>
    <s v="Smartphone"/>
    <n v="2"/>
    <n v="47000"/>
    <n v="94000"/>
    <s v="02"/>
  </r>
  <r>
    <n v="1112"/>
    <x v="11"/>
    <x v="3"/>
    <x v="1"/>
    <s v="Furniture"/>
    <s v="Chair"/>
    <n v="3"/>
    <n v="59000"/>
    <n v="177000"/>
    <s v="02"/>
  </r>
  <r>
    <n v="1113"/>
    <x v="12"/>
    <x v="0"/>
    <x v="8"/>
    <s v="Clothing"/>
    <s v="Jacket"/>
    <n v="2"/>
    <n v="850"/>
    <n v="1700"/>
    <s v="02"/>
  </r>
  <r>
    <n v="1114"/>
    <x v="13"/>
    <x v="1"/>
    <x v="3"/>
    <s v="Electronics"/>
    <s v="Laptop"/>
    <n v="1"/>
    <n v="2500"/>
    <n v="2500"/>
    <s v="02"/>
  </r>
  <r>
    <n v="1115"/>
    <x v="14"/>
    <x v="2"/>
    <x v="9"/>
    <s v="Furniture"/>
    <s v="Table"/>
    <n v="1"/>
    <n v="12000"/>
    <n v="12000"/>
    <s v="02"/>
  </r>
  <r>
    <n v="1116"/>
    <x v="15"/>
    <x v="3"/>
    <x v="0"/>
    <s v="Electronics"/>
    <s v="Headphones"/>
    <n v="4"/>
    <n v="2000"/>
    <n v="8000"/>
    <s v="02"/>
  </r>
  <r>
    <n v="1117"/>
    <x v="16"/>
    <x v="0"/>
    <x v="4"/>
    <s v="Clothing"/>
    <s v="Shoes"/>
    <n v="2"/>
    <n v="3000"/>
    <n v="6000"/>
    <s v="02"/>
  </r>
  <r>
    <n v="1118"/>
    <x v="17"/>
    <x v="1"/>
    <x v="5"/>
    <s v="Furniture"/>
    <s v="Sofa"/>
    <n v="1"/>
    <n v="60000"/>
    <n v="60000"/>
    <s v="02"/>
  </r>
  <r>
    <n v="1119"/>
    <x v="18"/>
    <x v="2"/>
    <x v="6"/>
    <s v="Electronics"/>
    <s v="Laptop"/>
    <n v="1"/>
    <n v="45000"/>
    <n v="45000"/>
    <s v="02"/>
  </r>
  <r>
    <n v="1120"/>
    <x v="19"/>
    <x v="3"/>
    <x v="7"/>
    <s v="Clothing"/>
    <s v="T-shirt"/>
    <n v="5"/>
    <n v="800"/>
    <n v="4000"/>
    <s v="02"/>
  </r>
  <r>
    <n v="1121"/>
    <x v="0"/>
    <x v="0"/>
    <x v="0"/>
    <s v="Electronics"/>
    <s v="Laptop"/>
    <n v="2"/>
    <n v="21000"/>
    <n v="42000"/>
    <s v="01"/>
  </r>
  <r>
    <n v="1122"/>
    <x v="1"/>
    <x v="1"/>
    <x v="1"/>
    <s v="Furniture"/>
    <s v="Chair"/>
    <n v="5"/>
    <n v="3500"/>
    <n v="17500"/>
    <s v="01"/>
  </r>
  <r>
    <n v="1123"/>
    <x v="2"/>
    <x v="2"/>
    <x v="2"/>
    <s v="Electronics"/>
    <s v="Smartphone"/>
    <n v="3"/>
    <n v="2600"/>
    <n v="7800"/>
    <s v="01"/>
  </r>
  <r>
    <n v="1124"/>
    <x v="3"/>
    <x v="3"/>
    <x v="3"/>
    <s v="Clothing"/>
    <s v="Jacket"/>
    <n v="4"/>
    <n v="58000"/>
    <n v="232000"/>
    <s v="01"/>
  </r>
  <r>
    <n v="1125"/>
    <x v="4"/>
    <x v="0"/>
    <x v="1"/>
    <s v="Furniture"/>
    <s v="Table"/>
    <n v="2"/>
    <n v="11000"/>
    <n v="22000"/>
    <s v="01"/>
  </r>
  <r>
    <n v="1126"/>
    <x v="5"/>
    <x v="1"/>
    <x v="4"/>
    <s v="Electronics"/>
    <s v="Headphones"/>
    <n v="6"/>
    <n v="2200"/>
    <n v="13200"/>
    <s v="01"/>
  </r>
  <r>
    <n v="1127"/>
    <x v="6"/>
    <x v="2"/>
    <x v="0"/>
    <s v="Clothing"/>
    <s v="Shoes"/>
    <n v="3"/>
    <n v="55000"/>
    <n v="165000"/>
    <s v="01"/>
  </r>
  <r>
    <n v="1128"/>
    <x v="7"/>
    <x v="3"/>
    <x v="5"/>
    <s v="Electronics"/>
    <s v="Laptop"/>
    <n v="1"/>
    <n v="3500"/>
    <n v="3500"/>
    <s v="01"/>
  </r>
  <r>
    <n v="1129"/>
    <x v="8"/>
    <x v="0"/>
    <x v="6"/>
    <s v="Furniture"/>
    <s v="Sofa"/>
    <n v="1"/>
    <n v="22000"/>
    <n v="22000"/>
    <s v="01"/>
  </r>
  <r>
    <n v="1130"/>
    <x v="9"/>
    <x v="1"/>
    <x v="2"/>
    <s v="Clothing"/>
    <s v="T-shirt"/>
    <n v="10"/>
    <n v="2500"/>
    <n v="25000"/>
    <s v="01"/>
  </r>
  <r>
    <n v="1131"/>
    <x v="10"/>
    <x v="2"/>
    <x v="7"/>
    <s v="Electronics"/>
    <s v="Smartphone"/>
    <n v="2"/>
    <n v="12000"/>
    <n v="24000"/>
    <s v="02"/>
  </r>
  <r>
    <n v="1132"/>
    <x v="11"/>
    <x v="3"/>
    <x v="1"/>
    <s v="Furniture"/>
    <s v="Chair"/>
    <n v="3"/>
    <n v="2000"/>
    <n v="6000"/>
    <s v="02"/>
  </r>
  <r>
    <n v="1133"/>
    <x v="12"/>
    <x v="0"/>
    <x v="8"/>
    <s v="Clothing"/>
    <s v="Jacket"/>
    <n v="2"/>
    <n v="3000"/>
    <n v="6000"/>
    <s v="02"/>
  </r>
  <r>
    <n v="1134"/>
    <x v="13"/>
    <x v="1"/>
    <x v="3"/>
    <s v="Electronics"/>
    <s v="Laptop"/>
    <n v="1"/>
    <n v="60000"/>
    <n v="60000"/>
    <s v="02"/>
  </r>
  <r>
    <n v="1135"/>
    <x v="14"/>
    <x v="2"/>
    <x v="9"/>
    <s v="Furniture"/>
    <s v="Table"/>
    <n v="1"/>
    <n v="45000"/>
    <n v="45000"/>
    <s v="02"/>
  </r>
  <r>
    <n v="1136"/>
    <x v="15"/>
    <x v="3"/>
    <x v="0"/>
    <s v="Electronics"/>
    <s v="Headphones"/>
    <n v="4"/>
    <n v="800"/>
    <n v="3200"/>
    <s v="02"/>
  </r>
  <r>
    <n v="1137"/>
    <x v="16"/>
    <x v="0"/>
    <x v="4"/>
    <s v="Clothing"/>
    <s v="Shoes"/>
    <n v="2"/>
    <n v="21000"/>
    <n v="42000"/>
    <s v="02"/>
  </r>
  <r>
    <n v="1138"/>
    <x v="17"/>
    <x v="1"/>
    <x v="5"/>
    <s v="Furniture"/>
    <s v="Sofa"/>
    <n v="1"/>
    <n v="3500"/>
    <n v="3500"/>
    <s v="02"/>
  </r>
  <r>
    <n v="1139"/>
    <x v="18"/>
    <x v="2"/>
    <x v="6"/>
    <s v="Electronics"/>
    <s v="Laptop"/>
    <n v="1"/>
    <n v="2600"/>
    <n v="2600"/>
    <s v="02"/>
  </r>
  <r>
    <n v="1140"/>
    <x v="19"/>
    <x v="3"/>
    <x v="7"/>
    <s v="Clothing"/>
    <s v="T-shirt"/>
    <n v="5"/>
    <n v="58000"/>
    <n v="290000"/>
    <s v="02"/>
  </r>
  <r>
    <n v="1141"/>
    <x v="0"/>
    <x v="0"/>
    <x v="0"/>
    <s v="Electronics"/>
    <s v="Laptop"/>
    <n v="2"/>
    <n v="11000"/>
    <n v="22000"/>
    <s v="01"/>
  </r>
  <r>
    <n v="1142"/>
    <x v="1"/>
    <x v="1"/>
    <x v="1"/>
    <s v="Furniture"/>
    <s v="Chair"/>
    <n v="5"/>
    <n v="2200"/>
    <n v="11000"/>
    <s v="01"/>
  </r>
  <r>
    <n v="1143"/>
    <x v="2"/>
    <x v="2"/>
    <x v="2"/>
    <s v="Electronics"/>
    <s v="Smartphone"/>
    <n v="3"/>
    <n v="3200"/>
    <n v="9600"/>
    <s v="01"/>
  </r>
  <r>
    <n v="1144"/>
    <x v="3"/>
    <x v="3"/>
    <x v="3"/>
    <s v="Clothing"/>
    <s v="Jacket"/>
    <n v="4"/>
    <n v="47000"/>
    <n v="188000"/>
    <s v="01"/>
  </r>
  <r>
    <n v="1145"/>
    <x v="4"/>
    <x v="0"/>
    <x v="1"/>
    <s v="Furniture"/>
    <s v="Table"/>
    <n v="2"/>
    <n v="59000"/>
    <n v="118000"/>
    <s v="01"/>
  </r>
  <r>
    <n v="1146"/>
    <x v="5"/>
    <x v="1"/>
    <x v="4"/>
    <s v="Electronics"/>
    <s v="Headphones"/>
    <n v="6"/>
    <n v="850"/>
    <n v="5100"/>
    <s v="01"/>
  </r>
  <r>
    <n v="1147"/>
    <x v="6"/>
    <x v="2"/>
    <x v="0"/>
    <s v="Clothing"/>
    <s v="Shoes"/>
    <n v="3"/>
    <n v="3500"/>
    <n v="10500"/>
    <s v="01"/>
  </r>
  <r>
    <n v="1148"/>
    <x v="7"/>
    <x v="3"/>
    <x v="5"/>
    <s v="Electronics"/>
    <s v="Laptop"/>
    <n v="1"/>
    <n v="2600"/>
    <n v="2600"/>
    <s v="01"/>
  </r>
  <r>
    <n v="1149"/>
    <x v="8"/>
    <x v="0"/>
    <x v="6"/>
    <s v="Furniture"/>
    <s v="Sofa"/>
    <n v="1"/>
    <n v="58000"/>
    <n v="58000"/>
    <s v="01"/>
  </r>
  <r>
    <n v="1150"/>
    <x v="9"/>
    <x v="1"/>
    <x v="2"/>
    <s v="Clothing"/>
    <s v="T-shirt"/>
    <n v="10"/>
    <n v="11000"/>
    <n v="110000"/>
    <s v="01"/>
  </r>
  <r>
    <n v="1151"/>
    <x v="10"/>
    <x v="2"/>
    <x v="7"/>
    <s v="Electronics"/>
    <s v="Smartphone"/>
    <n v="2"/>
    <n v="2200"/>
    <n v="4400"/>
    <s v="02"/>
  </r>
  <r>
    <n v="1152"/>
    <x v="11"/>
    <x v="3"/>
    <x v="1"/>
    <s v="Furniture"/>
    <s v="Chair"/>
    <n v="3"/>
    <n v="3200"/>
    <n v="9600"/>
    <s v="02"/>
  </r>
  <r>
    <n v="1153"/>
    <x v="12"/>
    <x v="0"/>
    <x v="8"/>
    <s v="Clothing"/>
    <s v="Jacket"/>
    <n v="2"/>
    <n v="47000"/>
    <n v="94000"/>
    <s v="02"/>
  </r>
  <r>
    <n v="1154"/>
    <x v="13"/>
    <x v="1"/>
    <x v="3"/>
    <s v="Electronics"/>
    <s v="Laptop"/>
    <n v="1"/>
    <n v="59000"/>
    <n v="59000"/>
    <s v="02"/>
  </r>
  <r>
    <n v="1155"/>
    <x v="14"/>
    <x v="2"/>
    <x v="9"/>
    <s v="Furniture"/>
    <s v="Table"/>
    <n v="1"/>
    <n v="850"/>
    <n v="850"/>
    <s v="02"/>
  </r>
  <r>
    <n v="1156"/>
    <x v="15"/>
    <x v="3"/>
    <x v="0"/>
    <s v="Electronics"/>
    <s v="Headphones"/>
    <n v="4"/>
    <n v="2500"/>
    <n v="10000"/>
    <s v="02"/>
  </r>
  <r>
    <n v="1157"/>
    <x v="16"/>
    <x v="0"/>
    <x v="4"/>
    <s v="Clothing"/>
    <s v="Shoes"/>
    <n v="2"/>
    <n v="12000"/>
    <n v="24000"/>
    <s v="02"/>
  </r>
  <r>
    <n v="1158"/>
    <x v="17"/>
    <x v="1"/>
    <x v="5"/>
    <s v="Furniture"/>
    <s v="Sofa"/>
    <n v="1"/>
    <n v="2000"/>
    <n v="2000"/>
    <s v="02"/>
  </r>
  <r>
    <n v="1159"/>
    <x v="18"/>
    <x v="2"/>
    <x v="6"/>
    <s v="Electronics"/>
    <s v="Laptop"/>
    <n v="1"/>
    <n v="3000"/>
    <n v="3000"/>
    <s v="02"/>
  </r>
  <r>
    <n v="1160"/>
    <x v="19"/>
    <x v="3"/>
    <x v="7"/>
    <s v="Clothing"/>
    <s v="T-shirt"/>
    <n v="5"/>
    <n v="60000"/>
    <n v="300000"/>
    <s v="02"/>
  </r>
  <r>
    <n v="1161"/>
    <x v="0"/>
    <x v="0"/>
    <x v="0"/>
    <s v="Electronics"/>
    <s v="Laptop"/>
    <n v="2"/>
    <n v="45000"/>
    <n v="90000"/>
    <s v="01"/>
  </r>
  <r>
    <n v="1162"/>
    <x v="1"/>
    <x v="1"/>
    <x v="1"/>
    <s v="Furniture"/>
    <s v="Chair"/>
    <n v="5"/>
    <n v="800"/>
    <n v="4000"/>
    <s v="01"/>
  </r>
  <r>
    <n v="1163"/>
    <x v="2"/>
    <x v="2"/>
    <x v="2"/>
    <s v="Electronics"/>
    <s v="Smartphone"/>
    <n v="3"/>
    <n v="21000"/>
    <n v="63000"/>
    <s v="01"/>
  </r>
  <r>
    <n v="1164"/>
    <x v="3"/>
    <x v="3"/>
    <x v="3"/>
    <s v="Clothing"/>
    <s v="Jacket"/>
    <n v="4"/>
    <n v="3500"/>
    <n v="14000"/>
    <s v="01"/>
  </r>
  <r>
    <n v="1165"/>
    <x v="4"/>
    <x v="0"/>
    <x v="1"/>
    <s v="Furniture"/>
    <s v="Table"/>
    <n v="2"/>
    <n v="2600"/>
    <n v="5200"/>
    <s v="01"/>
  </r>
  <r>
    <n v="1166"/>
    <x v="5"/>
    <x v="1"/>
    <x v="4"/>
    <s v="Electronics"/>
    <s v="Headphones"/>
    <n v="6"/>
    <n v="58000"/>
    <n v="348000"/>
    <s v="01"/>
  </r>
  <r>
    <n v="1167"/>
    <x v="6"/>
    <x v="2"/>
    <x v="0"/>
    <s v="Clothing"/>
    <s v="Shoes"/>
    <n v="3"/>
    <n v="11000"/>
    <n v="33000"/>
    <s v="01"/>
  </r>
  <r>
    <n v="1168"/>
    <x v="7"/>
    <x v="3"/>
    <x v="5"/>
    <s v="Electronics"/>
    <s v="Laptop"/>
    <n v="1"/>
    <n v="2200"/>
    <n v="2200"/>
    <s v="01"/>
  </r>
  <r>
    <n v="1169"/>
    <x v="8"/>
    <x v="0"/>
    <x v="6"/>
    <s v="Furniture"/>
    <s v="Sofa"/>
    <n v="1"/>
    <n v="55000"/>
    <n v="55000"/>
    <s v="01"/>
  </r>
  <r>
    <n v="1170"/>
    <x v="9"/>
    <x v="1"/>
    <x v="2"/>
    <s v="Clothing"/>
    <s v="T-shirt"/>
    <n v="10"/>
    <n v="3500"/>
    <n v="35000"/>
    <s v="01"/>
  </r>
  <r>
    <n v="1171"/>
    <x v="10"/>
    <x v="2"/>
    <x v="7"/>
    <s v="Electronics"/>
    <s v="Smartphone"/>
    <n v="2"/>
    <n v="22000"/>
    <n v="44000"/>
    <s v="02"/>
  </r>
  <r>
    <n v="1172"/>
    <x v="11"/>
    <x v="3"/>
    <x v="1"/>
    <s v="Furniture"/>
    <s v="Chair"/>
    <n v="3"/>
    <n v="2500"/>
    <n v="7500"/>
    <s v="02"/>
  </r>
  <r>
    <n v="1173"/>
    <x v="12"/>
    <x v="0"/>
    <x v="8"/>
    <s v="Clothing"/>
    <s v="Jacket"/>
    <n v="2"/>
    <n v="12000"/>
    <n v="24000"/>
    <s v="02"/>
  </r>
  <r>
    <n v="1174"/>
    <x v="13"/>
    <x v="1"/>
    <x v="3"/>
    <s v="Electronics"/>
    <s v="Laptop"/>
    <n v="1"/>
    <n v="2000"/>
    <n v="2000"/>
    <s v="02"/>
  </r>
  <r>
    <n v="1175"/>
    <x v="14"/>
    <x v="2"/>
    <x v="9"/>
    <s v="Furniture"/>
    <s v="Table"/>
    <n v="1"/>
    <n v="3000"/>
    <n v="3000"/>
    <s v="02"/>
  </r>
  <r>
    <n v="1176"/>
    <x v="15"/>
    <x v="3"/>
    <x v="0"/>
    <s v="Electronics"/>
    <s v="Headphones"/>
    <n v="4"/>
    <n v="60000"/>
    <n v="240000"/>
    <s v="02"/>
  </r>
  <r>
    <n v="1177"/>
    <x v="16"/>
    <x v="0"/>
    <x v="4"/>
    <s v="Clothing"/>
    <s v="Shoes"/>
    <n v="2"/>
    <n v="45000"/>
    <n v="90000"/>
    <s v="02"/>
  </r>
  <r>
    <n v="1178"/>
    <x v="17"/>
    <x v="1"/>
    <x v="5"/>
    <s v="Furniture"/>
    <s v="Sofa"/>
    <n v="1"/>
    <n v="800"/>
    <n v="800"/>
    <s v="02"/>
  </r>
  <r>
    <n v="1179"/>
    <x v="18"/>
    <x v="2"/>
    <x v="6"/>
    <s v="Electronics"/>
    <s v="Laptop"/>
    <n v="1"/>
    <n v="21000"/>
    <n v="21000"/>
    <s v="02"/>
  </r>
  <r>
    <n v="1180"/>
    <x v="19"/>
    <x v="3"/>
    <x v="7"/>
    <s v="Clothing"/>
    <s v="T-shirt"/>
    <n v="5"/>
    <n v="3500"/>
    <n v="17500"/>
    <s v="02"/>
  </r>
  <r>
    <n v="1181"/>
    <x v="0"/>
    <x v="0"/>
    <x v="0"/>
    <s v="Electronics"/>
    <s v="Laptop"/>
    <n v="2"/>
    <n v="2600"/>
    <n v="5200"/>
    <s v="01"/>
  </r>
  <r>
    <n v="1182"/>
    <x v="1"/>
    <x v="1"/>
    <x v="1"/>
    <s v="Furniture"/>
    <s v="Chair"/>
    <n v="5"/>
    <n v="58000"/>
    <n v="290000"/>
    <s v="01"/>
  </r>
  <r>
    <n v="1183"/>
    <x v="2"/>
    <x v="2"/>
    <x v="2"/>
    <s v="Electronics"/>
    <s v="Smartphone"/>
    <n v="3"/>
    <n v="11000"/>
    <n v="33000"/>
    <s v="01"/>
  </r>
  <r>
    <n v="1184"/>
    <x v="3"/>
    <x v="3"/>
    <x v="3"/>
    <s v="Clothing"/>
    <s v="Jacket"/>
    <n v="4"/>
    <n v="2200"/>
    <n v="8800"/>
    <s v="01"/>
  </r>
  <r>
    <n v="1185"/>
    <x v="4"/>
    <x v="0"/>
    <x v="1"/>
    <s v="Furniture"/>
    <s v="Table"/>
    <n v="2"/>
    <n v="3200"/>
    <n v="6400"/>
    <s v="01"/>
  </r>
  <r>
    <n v="1186"/>
    <x v="5"/>
    <x v="1"/>
    <x v="4"/>
    <s v="Electronics"/>
    <s v="Headphones"/>
    <n v="6"/>
    <n v="47000"/>
    <n v="282000"/>
    <s v="01"/>
  </r>
  <r>
    <n v="1187"/>
    <x v="6"/>
    <x v="2"/>
    <x v="0"/>
    <s v="Clothing"/>
    <s v="Shoes"/>
    <n v="3"/>
    <n v="59000"/>
    <n v="177000"/>
    <s v="01"/>
  </r>
  <r>
    <n v="1188"/>
    <x v="7"/>
    <x v="3"/>
    <x v="5"/>
    <s v="Electronics"/>
    <s v="Laptop"/>
    <n v="1"/>
    <n v="850"/>
    <n v="850"/>
    <s v="01"/>
  </r>
  <r>
    <n v="1189"/>
    <x v="8"/>
    <x v="0"/>
    <x v="6"/>
    <s v="Furniture"/>
    <s v="Sofa"/>
    <n v="1"/>
    <n v="3500"/>
    <n v="3500"/>
    <s v="01"/>
  </r>
  <r>
    <n v="1190"/>
    <x v="9"/>
    <x v="1"/>
    <x v="2"/>
    <s v="Clothing"/>
    <s v="T-shirt"/>
    <n v="10"/>
    <n v="2600"/>
    <n v="26000"/>
    <s v="01"/>
  </r>
  <r>
    <n v="1191"/>
    <x v="10"/>
    <x v="2"/>
    <x v="7"/>
    <s v="Electronics"/>
    <s v="Smartphone"/>
    <n v="2"/>
    <n v="58000"/>
    <n v="116000"/>
    <s v="02"/>
  </r>
  <r>
    <n v="1192"/>
    <x v="11"/>
    <x v="3"/>
    <x v="1"/>
    <s v="Furniture"/>
    <s v="Chair"/>
    <n v="3"/>
    <n v="11000"/>
    <n v="33000"/>
    <s v="02"/>
  </r>
  <r>
    <n v="1193"/>
    <x v="12"/>
    <x v="0"/>
    <x v="8"/>
    <s v="Clothing"/>
    <s v="Jacket"/>
    <n v="2"/>
    <n v="2200"/>
    <n v="4400"/>
    <s v="02"/>
  </r>
  <r>
    <n v="1194"/>
    <x v="13"/>
    <x v="1"/>
    <x v="3"/>
    <s v="Electronics"/>
    <s v="Laptop"/>
    <n v="1"/>
    <n v="3200"/>
    <n v="3200"/>
    <s v="02"/>
  </r>
  <r>
    <n v="1195"/>
    <x v="14"/>
    <x v="2"/>
    <x v="9"/>
    <s v="Furniture"/>
    <s v="Table"/>
    <n v="1"/>
    <n v="47000"/>
    <n v="47000"/>
    <s v="02"/>
  </r>
  <r>
    <n v="1196"/>
    <x v="15"/>
    <x v="3"/>
    <x v="0"/>
    <s v="Electronics"/>
    <s v="Headphones"/>
    <n v="4"/>
    <n v="59000"/>
    <n v="236000"/>
    <s v="02"/>
  </r>
  <r>
    <n v="1197"/>
    <x v="16"/>
    <x v="0"/>
    <x v="4"/>
    <s v="Clothing"/>
    <s v="Shoes"/>
    <n v="2"/>
    <n v="850"/>
    <n v="1700"/>
    <s v="02"/>
  </r>
  <r>
    <n v="1198"/>
    <x v="17"/>
    <x v="1"/>
    <x v="5"/>
    <s v="Furniture"/>
    <s v="Sofa"/>
    <n v="1"/>
    <n v="2500"/>
    <n v="2500"/>
    <s v="02"/>
  </r>
  <r>
    <n v="1199"/>
    <x v="18"/>
    <x v="2"/>
    <x v="6"/>
    <s v="Electronics"/>
    <s v="Laptop"/>
    <n v="1"/>
    <n v="12000"/>
    <n v="12000"/>
    <s v="02"/>
  </r>
  <r>
    <n v="1200"/>
    <x v="19"/>
    <x v="3"/>
    <x v="7"/>
    <s v="Clothing"/>
    <s v="T-shirt"/>
    <n v="5"/>
    <n v="2000"/>
    <n v="10000"/>
    <s v="02"/>
  </r>
  <r>
    <n v="1201"/>
    <x v="0"/>
    <x v="0"/>
    <x v="0"/>
    <s v="Electronics"/>
    <s v="Laptop"/>
    <n v="2"/>
    <n v="3000"/>
    <n v="6000"/>
    <s v="01"/>
  </r>
  <r>
    <n v="1202"/>
    <x v="1"/>
    <x v="1"/>
    <x v="1"/>
    <s v="Furniture"/>
    <s v="Chair"/>
    <n v="5"/>
    <n v="60000"/>
    <n v="300000"/>
    <s v="01"/>
  </r>
  <r>
    <n v="1203"/>
    <x v="2"/>
    <x v="2"/>
    <x v="2"/>
    <s v="Electronics"/>
    <s v="Smartphone"/>
    <n v="3"/>
    <n v="45000"/>
    <n v="135000"/>
    <s v="01"/>
  </r>
  <r>
    <n v="1204"/>
    <x v="3"/>
    <x v="3"/>
    <x v="3"/>
    <s v="Clothing"/>
    <s v="Jacket"/>
    <n v="4"/>
    <n v="800"/>
    <n v="3200"/>
    <s v="01"/>
  </r>
  <r>
    <n v="1205"/>
    <x v="4"/>
    <x v="0"/>
    <x v="1"/>
    <s v="Furniture"/>
    <s v="Table"/>
    <n v="2"/>
    <n v="21000"/>
    <n v="42000"/>
    <s v="01"/>
  </r>
  <r>
    <n v="1206"/>
    <x v="5"/>
    <x v="1"/>
    <x v="4"/>
    <s v="Electronics"/>
    <s v="Headphones"/>
    <n v="6"/>
    <n v="3500"/>
    <n v="21000"/>
    <s v="01"/>
  </r>
  <r>
    <n v="1207"/>
    <x v="6"/>
    <x v="2"/>
    <x v="0"/>
    <s v="Clothing"/>
    <s v="Shoes"/>
    <n v="3"/>
    <n v="2600"/>
    <n v="7800"/>
    <s v="01"/>
  </r>
  <r>
    <n v="1208"/>
    <x v="7"/>
    <x v="3"/>
    <x v="5"/>
    <s v="Electronics"/>
    <s v="Laptop"/>
    <n v="1"/>
    <n v="58000"/>
    <n v="58000"/>
    <s v="01"/>
  </r>
  <r>
    <n v="1209"/>
    <x v="8"/>
    <x v="0"/>
    <x v="6"/>
    <s v="Furniture"/>
    <s v="Sofa"/>
    <n v="1"/>
    <n v="11000"/>
    <n v="11000"/>
    <s v="01"/>
  </r>
  <r>
    <n v="1210"/>
    <x v="9"/>
    <x v="1"/>
    <x v="2"/>
    <s v="Clothing"/>
    <s v="T-shirt"/>
    <n v="10"/>
    <n v="2200"/>
    <n v="22000"/>
    <s v="01"/>
  </r>
  <r>
    <n v="1211"/>
    <x v="10"/>
    <x v="2"/>
    <x v="7"/>
    <s v="Electronics"/>
    <s v="Smartphone"/>
    <n v="2"/>
    <n v="55000"/>
    <n v="110000"/>
    <s v="02"/>
  </r>
  <r>
    <n v="1212"/>
    <x v="11"/>
    <x v="3"/>
    <x v="1"/>
    <s v="Furniture"/>
    <s v="Chair"/>
    <n v="3"/>
    <n v="3500"/>
    <n v="10500"/>
    <s v="02"/>
  </r>
  <r>
    <n v="1213"/>
    <x v="12"/>
    <x v="0"/>
    <x v="8"/>
    <s v="Clothing"/>
    <s v="Jacket"/>
    <n v="2"/>
    <n v="22000"/>
    <n v="44000"/>
    <s v="02"/>
  </r>
  <r>
    <n v="1214"/>
    <x v="13"/>
    <x v="1"/>
    <x v="3"/>
    <s v="Electronics"/>
    <s v="Laptop"/>
    <n v="1"/>
    <n v="2500"/>
    <n v="2500"/>
    <s v="02"/>
  </r>
  <r>
    <n v="1215"/>
    <x v="14"/>
    <x v="2"/>
    <x v="9"/>
    <s v="Furniture"/>
    <s v="Table"/>
    <n v="1"/>
    <n v="12000"/>
    <n v="12000"/>
    <s v="02"/>
  </r>
  <r>
    <n v="1216"/>
    <x v="15"/>
    <x v="3"/>
    <x v="0"/>
    <s v="Electronics"/>
    <s v="Headphones"/>
    <n v="4"/>
    <n v="2000"/>
    <n v="8000"/>
    <s v="02"/>
  </r>
  <r>
    <n v="1217"/>
    <x v="16"/>
    <x v="0"/>
    <x v="4"/>
    <s v="Clothing"/>
    <s v="Shoes"/>
    <n v="2"/>
    <n v="3000"/>
    <n v="6000"/>
    <s v="02"/>
  </r>
  <r>
    <n v="1218"/>
    <x v="17"/>
    <x v="1"/>
    <x v="5"/>
    <s v="Furniture"/>
    <s v="Sofa"/>
    <n v="1"/>
    <n v="60000"/>
    <n v="60000"/>
    <s v="02"/>
  </r>
  <r>
    <n v="1219"/>
    <x v="18"/>
    <x v="2"/>
    <x v="6"/>
    <s v="Electronics"/>
    <s v="Laptop"/>
    <n v="1"/>
    <n v="45000"/>
    <n v="45000"/>
    <s v="02"/>
  </r>
  <r>
    <n v="1220"/>
    <x v="19"/>
    <x v="3"/>
    <x v="7"/>
    <s v="Clothing"/>
    <s v="T-shirt"/>
    <n v="5"/>
    <n v="800"/>
    <n v="4000"/>
    <s v="02"/>
  </r>
  <r>
    <n v="1221"/>
    <x v="0"/>
    <x v="0"/>
    <x v="0"/>
    <s v="Electronics"/>
    <s v="Laptop"/>
    <n v="2"/>
    <n v="21000"/>
    <n v="42000"/>
    <s v="01"/>
  </r>
  <r>
    <n v="1222"/>
    <x v="1"/>
    <x v="1"/>
    <x v="1"/>
    <s v="Furniture"/>
    <s v="Chair"/>
    <n v="5"/>
    <n v="3500"/>
    <n v="17500"/>
    <s v="01"/>
  </r>
  <r>
    <n v="1223"/>
    <x v="2"/>
    <x v="2"/>
    <x v="2"/>
    <s v="Electronics"/>
    <s v="Smartphone"/>
    <n v="3"/>
    <n v="2600"/>
    <n v="7800"/>
    <s v="01"/>
  </r>
  <r>
    <n v="1224"/>
    <x v="3"/>
    <x v="3"/>
    <x v="3"/>
    <s v="Clothing"/>
    <s v="Jacket"/>
    <n v="4"/>
    <n v="58000"/>
    <n v="232000"/>
    <s v="01"/>
  </r>
  <r>
    <n v="1225"/>
    <x v="4"/>
    <x v="0"/>
    <x v="1"/>
    <s v="Furniture"/>
    <s v="Table"/>
    <n v="2"/>
    <n v="11000"/>
    <n v="22000"/>
    <s v="01"/>
  </r>
  <r>
    <n v="1226"/>
    <x v="5"/>
    <x v="1"/>
    <x v="4"/>
    <s v="Electronics"/>
    <s v="Headphones"/>
    <n v="6"/>
    <n v="2200"/>
    <n v="13200"/>
    <s v="01"/>
  </r>
  <r>
    <n v="1227"/>
    <x v="6"/>
    <x v="2"/>
    <x v="0"/>
    <s v="Clothing"/>
    <s v="Shoes"/>
    <n v="3"/>
    <n v="3200"/>
    <n v="9600"/>
    <s v="01"/>
  </r>
  <r>
    <n v="1228"/>
    <x v="7"/>
    <x v="3"/>
    <x v="5"/>
    <s v="Electronics"/>
    <s v="Laptop"/>
    <n v="1"/>
    <n v="47000"/>
    <n v="47000"/>
    <s v="01"/>
  </r>
  <r>
    <n v="1229"/>
    <x v="8"/>
    <x v="0"/>
    <x v="6"/>
    <s v="Furniture"/>
    <s v="Sofa"/>
    <n v="1"/>
    <n v="59000"/>
    <n v="59000"/>
    <s v="01"/>
  </r>
  <r>
    <n v="1230"/>
    <x v="9"/>
    <x v="1"/>
    <x v="2"/>
    <s v="Clothing"/>
    <s v="T-shirt"/>
    <n v="10"/>
    <n v="850"/>
    <n v="8500"/>
    <s v="01"/>
  </r>
  <r>
    <n v="1231"/>
    <x v="10"/>
    <x v="2"/>
    <x v="7"/>
    <s v="Electronics"/>
    <s v="Smartphone"/>
    <n v="2"/>
    <n v="3500"/>
    <n v="7000"/>
    <s v="02"/>
  </r>
  <r>
    <n v="1232"/>
    <x v="11"/>
    <x v="3"/>
    <x v="1"/>
    <s v="Furniture"/>
    <s v="Chair"/>
    <n v="3"/>
    <n v="2600"/>
    <n v="7800"/>
    <s v="02"/>
  </r>
  <r>
    <n v="1233"/>
    <x v="12"/>
    <x v="0"/>
    <x v="8"/>
    <s v="Clothing"/>
    <s v="Jacket"/>
    <n v="2"/>
    <n v="58000"/>
    <n v="116000"/>
    <s v="02"/>
  </r>
  <r>
    <n v="1234"/>
    <x v="13"/>
    <x v="1"/>
    <x v="3"/>
    <s v="Electronics"/>
    <s v="Laptop"/>
    <n v="1"/>
    <n v="11000"/>
    <n v="11000"/>
    <s v="02"/>
  </r>
  <r>
    <n v="1235"/>
    <x v="14"/>
    <x v="2"/>
    <x v="9"/>
    <s v="Furniture"/>
    <s v="Table"/>
    <n v="1"/>
    <n v="2200"/>
    <n v="2200"/>
    <s v="02"/>
  </r>
  <r>
    <n v="1236"/>
    <x v="15"/>
    <x v="3"/>
    <x v="0"/>
    <s v="Electronics"/>
    <s v="Headphones"/>
    <n v="4"/>
    <n v="3200"/>
    <n v="12800"/>
    <s v="02"/>
  </r>
  <r>
    <n v="1237"/>
    <x v="16"/>
    <x v="0"/>
    <x v="4"/>
    <s v="Clothing"/>
    <s v="Shoes"/>
    <n v="2"/>
    <n v="47000"/>
    <n v="94000"/>
    <s v="02"/>
  </r>
  <r>
    <n v="1238"/>
    <x v="17"/>
    <x v="1"/>
    <x v="5"/>
    <s v="Furniture"/>
    <s v="Sofa"/>
    <n v="1"/>
    <n v="59000"/>
    <n v="59000"/>
    <s v="02"/>
  </r>
  <r>
    <n v="1239"/>
    <x v="18"/>
    <x v="2"/>
    <x v="6"/>
    <s v="Electronics"/>
    <s v="Laptop"/>
    <n v="1"/>
    <n v="850"/>
    <n v="850"/>
    <s v="02"/>
  </r>
  <r>
    <n v="1240"/>
    <x v="19"/>
    <x v="3"/>
    <x v="7"/>
    <s v="Clothing"/>
    <s v="T-shirt"/>
    <n v="5"/>
    <n v="2500"/>
    <n v="12500"/>
    <s v="02"/>
  </r>
  <r>
    <n v="1241"/>
    <x v="0"/>
    <x v="0"/>
    <x v="0"/>
    <s v="Electronics"/>
    <s v="Laptop"/>
    <n v="2"/>
    <n v="12000"/>
    <n v="24000"/>
    <s v="01"/>
  </r>
  <r>
    <n v="1242"/>
    <x v="1"/>
    <x v="1"/>
    <x v="1"/>
    <s v="Furniture"/>
    <s v="Chair"/>
    <n v="5"/>
    <n v="2000"/>
    <n v="10000"/>
    <s v="01"/>
  </r>
  <r>
    <n v="1243"/>
    <x v="2"/>
    <x v="2"/>
    <x v="2"/>
    <s v="Electronics"/>
    <s v="Smartphone"/>
    <n v="3"/>
    <n v="3000"/>
    <n v="9000"/>
    <s v="01"/>
  </r>
  <r>
    <n v="1244"/>
    <x v="3"/>
    <x v="3"/>
    <x v="3"/>
    <s v="Clothing"/>
    <s v="Jacket"/>
    <n v="4"/>
    <n v="60000"/>
    <n v="240000"/>
    <s v="01"/>
  </r>
  <r>
    <n v="1245"/>
    <x v="4"/>
    <x v="0"/>
    <x v="1"/>
    <s v="Furniture"/>
    <s v="Table"/>
    <n v="2"/>
    <n v="45000"/>
    <n v="90000"/>
    <s v="01"/>
  </r>
  <r>
    <n v="1246"/>
    <x v="5"/>
    <x v="1"/>
    <x v="4"/>
    <s v="Electronics"/>
    <s v="Headphones"/>
    <n v="6"/>
    <n v="800"/>
    <n v="4800"/>
    <s v="01"/>
  </r>
  <r>
    <n v="1247"/>
    <x v="6"/>
    <x v="2"/>
    <x v="0"/>
    <s v="Clothing"/>
    <s v="Shoes"/>
    <n v="3"/>
    <n v="21000"/>
    <n v="63000"/>
    <s v="01"/>
  </r>
  <r>
    <n v="1248"/>
    <x v="7"/>
    <x v="3"/>
    <x v="5"/>
    <s v="Electronics"/>
    <s v="Laptop"/>
    <n v="1"/>
    <n v="3500"/>
    <n v="3500"/>
    <s v="01"/>
  </r>
  <r>
    <n v="1249"/>
    <x v="8"/>
    <x v="0"/>
    <x v="6"/>
    <s v="Furniture"/>
    <s v="Sofa"/>
    <n v="1"/>
    <n v="2600"/>
    <n v="2600"/>
    <s v="01"/>
  </r>
  <r>
    <n v="1250"/>
    <x v="9"/>
    <x v="1"/>
    <x v="2"/>
    <s v="Clothing"/>
    <s v="T-shirt"/>
    <n v="10"/>
    <n v="58000"/>
    <n v="580000"/>
    <s v="01"/>
  </r>
  <r>
    <n v="1251"/>
    <x v="10"/>
    <x v="2"/>
    <x v="7"/>
    <s v="Electronics"/>
    <s v="Smartphone"/>
    <n v="2"/>
    <n v="11000"/>
    <n v="22000"/>
    <s v="02"/>
  </r>
  <r>
    <n v="1252"/>
    <x v="11"/>
    <x v="3"/>
    <x v="1"/>
    <s v="Furniture"/>
    <s v="Chair"/>
    <n v="3"/>
    <n v="2200"/>
    <n v="6600"/>
    <s v="02"/>
  </r>
  <r>
    <n v="1253"/>
    <x v="12"/>
    <x v="0"/>
    <x v="8"/>
    <s v="Clothing"/>
    <s v="Jacket"/>
    <n v="2"/>
    <n v="55000"/>
    <n v="110000"/>
    <s v="02"/>
  </r>
  <r>
    <n v="1254"/>
    <x v="13"/>
    <x v="1"/>
    <x v="3"/>
    <s v="Electronics"/>
    <s v="Laptop"/>
    <n v="1"/>
    <n v="3500"/>
    <n v="3500"/>
    <s v="02"/>
  </r>
  <r>
    <n v="1255"/>
    <x v="14"/>
    <x v="2"/>
    <x v="9"/>
    <s v="Furniture"/>
    <s v="Table"/>
    <n v="1"/>
    <n v="22000"/>
    <n v="22000"/>
    <s v="02"/>
  </r>
  <r>
    <n v="1256"/>
    <x v="15"/>
    <x v="3"/>
    <x v="0"/>
    <s v="Electronics"/>
    <s v="Headphones"/>
    <n v="4"/>
    <n v="2500"/>
    <n v="10000"/>
    <s v="02"/>
  </r>
  <r>
    <n v="1257"/>
    <x v="16"/>
    <x v="0"/>
    <x v="4"/>
    <s v="Clothing"/>
    <s v="Shoes"/>
    <n v="2"/>
    <n v="12000"/>
    <n v="24000"/>
    <s v="02"/>
  </r>
  <r>
    <n v="1258"/>
    <x v="17"/>
    <x v="1"/>
    <x v="5"/>
    <s v="Furniture"/>
    <s v="Sofa"/>
    <n v="1"/>
    <n v="2000"/>
    <n v="2000"/>
    <s v="02"/>
  </r>
  <r>
    <n v="1259"/>
    <x v="18"/>
    <x v="2"/>
    <x v="6"/>
    <s v="Electronics"/>
    <s v="Laptop"/>
    <n v="1"/>
    <n v="3000"/>
    <n v="3000"/>
    <s v="02"/>
  </r>
  <r>
    <n v="1260"/>
    <x v="19"/>
    <x v="3"/>
    <x v="7"/>
    <s v="Clothing"/>
    <s v="T-shirt"/>
    <n v="5"/>
    <n v="60000"/>
    <n v="300000"/>
    <s v="02"/>
  </r>
  <r>
    <n v="1261"/>
    <x v="0"/>
    <x v="0"/>
    <x v="0"/>
    <s v="Electronics"/>
    <s v="Laptop"/>
    <n v="2"/>
    <n v="45000"/>
    <n v="90000"/>
    <s v="01"/>
  </r>
  <r>
    <n v="1262"/>
    <x v="1"/>
    <x v="1"/>
    <x v="1"/>
    <s v="Furniture"/>
    <s v="Chair"/>
    <n v="5"/>
    <n v="800"/>
    <n v="4000"/>
    <s v="01"/>
  </r>
  <r>
    <n v="1263"/>
    <x v="2"/>
    <x v="2"/>
    <x v="2"/>
    <s v="Electronics"/>
    <s v="Smartphone"/>
    <n v="3"/>
    <n v="21000"/>
    <n v="63000"/>
    <s v="01"/>
  </r>
  <r>
    <n v="1264"/>
    <x v="3"/>
    <x v="3"/>
    <x v="3"/>
    <s v="Clothing"/>
    <s v="Jacket"/>
    <n v="4"/>
    <n v="3500"/>
    <n v="14000"/>
    <s v="01"/>
  </r>
  <r>
    <n v="1265"/>
    <x v="4"/>
    <x v="0"/>
    <x v="1"/>
    <s v="Furniture"/>
    <s v="Table"/>
    <n v="2"/>
    <n v="2600"/>
    <n v="5200"/>
    <s v="01"/>
  </r>
  <r>
    <n v="1266"/>
    <x v="5"/>
    <x v="1"/>
    <x v="4"/>
    <s v="Electronics"/>
    <s v="Headphones"/>
    <n v="6"/>
    <n v="58000"/>
    <n v="348000"/>
    <s v="01"/>
  </r>
  <r>
    <n v="1267"/>
    <x v="6"/>
    <x v="2"/>
    <x v="0"/>
    <s v="Clothing"/>
    <s v="Shoes"/>
    <n v="3"/>
    <n v="11000"/>
    <n v="33000"/>
    <s v="01"/>
  </r>
  <r>
    <n v="1268"/>
    <x v="7"/>
    <x v="3"/>
    <x v="5"/>
    <s v="Electronics"/>
    <s v="Laptop"/>
    <n v="1"/>
    <n v="2200"/>
    <n v="2200"/>
    <s v="01"/>
  </r>
  <r>
    <n v="1269"/>
    <x v="8"/>
    <x v="0"/>
    <x v="6"/>
    <s v="Furniture"/>
    <s v="Sofa"/>
    <n v="1"/>
    <n v="3200"/>
    <n v="3200"/>
    <s v="01"/>
  </r>
  <r>
    <n v="1270"/>
    <x v="9"/>
    <x v="1"/>
    <x v="2"/>
    <s v="Clothing"/>
    <s v="T-shirt"/>
    <n v="10"/>
    <n v="47000"/>
    <n v="470000"/>
    <s v="01"/>
  </r>
  <r>
    <n v="1271"/>
    <x v="10"/>
    <x v="2"/>
    <x v="7"/>
    <s v="Electronics"/>
    <s v="Smartphone"/>
    <n v="2"/>
    <n v="59000"/>
    <n v="118000"/>
    <s v="02"/>
  </r>
  <r>
    <n v="1272"/>
    <x v="11"/>
    <x v="3"/>
    <x v="1"/>
    <s v="Furniture"/>
    <s v="Chair"/>
    <n v="3"/>
    <n v="850"/>
    <n v="2550"/>
    <s v="02"/>
  </r>
  <r>
    <n v="1273"/>
    <x v="12"/>
    <x v="0"/>
    <x v="8"/>
    <s v="Clothing"/>
    <s v="Jacket"/>
    <n v="2"/>
    <n v="3500"/>
    <n v="7000"/>
    <s v="02"/>
  </r>
  <r>
    <n v="1274"/>
    <x v="13"/>
    <x v="1"/>
    <x v="3"/>
    <s v="Electronics"/>
    <s v="Laptop"/>
    <n v="1"/>
    <n v="2600"/>
    <n v="2600"/>
    <s v="02"/>
  </r>
  <r>
    <n v="1275"/>
    <x v="14"/>
    <x v="2"/>
    <x v="9"/>
    <s v="Furniture"/>
    <s v="Table"/>
    <n v="1"/>
    <n v="58000"/>
    <n v="58000"/>
    <s v="02"/>
  </r>
  <r>
    <n v="1276"/>
    <x v="15"/>
    <x v="3"/>
    <x v="0"/>
    <s v="Electronics"/>
    <s v="Headphones"/>
    <n v="4"/>
    <n v="11000"/>
    <n v="44000"/>
    <s v="02"/>
  </r>
  <r>
    <n v="1277"/>
    <x v="16"/>
    <x v="0"/>
    <x v="4"/>
    <s v="Clothing"/>
    <s v="Shoes"/>
    <n v="2"/>
    <n v="2200"/>
    <n v="4400"/>
    <s v="02"/>
  </r>
  <r>
    <n v="1278"/>
    <x v="17"/>
    <x v="1"/>
    <x v="5"/>
    <s v="Furniture"/>
    <s v="Sofa"/>
    <n v="1"/>
    <n v="3200"/>
    <n v="3200"/>
    <s v="02"/>
  </r>
  <r>
    <n v="1279"/>
    <x v="18"/>
    <x v="2"/>
    <x v="6"/>
    <s v="Electronics"/>
    <s v="Laptop"/>
    <n v="1"/>
    <n v="47000"/>
    <n v="47000"/>
    <s v="02"/>
  </r>
  <r>
    <n v="1280"/>
    <x v="19"/>
    <x v="3"/>
    <x v="7"/>
    <s v="Clothing"/>
    <s v="T-shirt"/>
    <n v="5"/>
    <n v="59000"/>
    <n v="295000"/>
    <s v="02"/>
  </r>
  <r>
    <n v="1281"/>
    <x v="0"/>
    <x v="0"/>
    <x v="0"/>
    <s v="Electronics"/>
    <s v="Laptop"/>
    <n v="2"/>
    <n v="850"/>
    <n v="1700"/>
    <s v="01"/>
  </r>
  <r>
    <n v="1282"/>
    <x v="1"/>
    <x v="1"/>
    <x v="1"/>
    <s v="Furniture"/>
    <s v="Chair"/>
    <n v="5"/>
    <n v="2500"/>
    <n v="12500"/>
    <s v="01"/>
  </r>
  <r>
    <n v="1283"/>
    <x v="2"/>
    <x v="2"/>
    <x v="2"/>
    <s v="Electronics"/>
    <s v="Smartphone"/>
    <n v="3"/>
    <n v="12000"/>
    <n v="36000"/>
    <s v="01"/>
  </r>
  <r>
    <n v="1284"/>
    <x v="3"/>
    <x v="3"/>
    <x v="3"/>
    <s v="Clothing"/>
    <s v="Jacket"/>
    <n v="4"/>
    <n v="2000"/>
    <n v="8000"/>
    <s v="01"/>
  </r>
  <r>
    <n v="1285"/>
    <x v="4"/>
    <x v="0"/>
    <x v="1"/>
    <s v="Furniture"/>
    <s v="Table"/>
    <n v="2"/>
    <n v="3000"/>
    <n v="6000"/>
    <s v="01"/>
  </r>
  <r>
    <n v="1286"/>
    <x v="5"/>
    <x v="1"/>
    <x v="4"/>
    <s v="Electronics"/>
    <s v="Headphones"/>
    <n v="6"/>
    <n v="60000"/>
    <n v="360000"/>
    <s v="01"/>
  </r>
  <r>
    <n v="1287"/>
    <x v="6"/>
    <x v="2"/>
    <x v="0"/>
    <s v="Clothing"/>
    <s v="Shoes"/>
    <n v="3"/>
    <n v="45000"/>
    <n v="135000"/>
    <s v="01"/>
  </r>
  <r>
    <n v="1288"/>
    <x v="7"/>
    <x v="3"/>
    <x v="5"/>
    <s v="Electronics"/>
    <s v="Laptop"/>
    <n v="1"/>
    <n v="800"/>
    <n v="800"/>
    <s v="01"/>
  </r>
  <r>
    <n v="1289"/>
    <x v="8"/>
    <x v="0"/>
    <x v="6"/>
    <s v="Furniture"/>
    <s v="Sofa"/>
    <n v="1"/>
    <n v="21000"/>
    <n v="21000"/>
    <s v="01"/>
  </r>
  <r>
    <n v="1290"/>
    <x v="9"/>
    <x v="1"/>
    <x v="2"/>
    <s v="Clothing"/>
    <s v="T-shirt"/>
    <n v="10"/>
    <n v="3500"/>
    <n v="35000"/>
    <s v="01"/>
  </r>
  <r>
    <n v="1291"/>
    <x v="10"/>
    <x v="2"/>
    <x v="7"/>
    <s v="Electronics"/>
    <s v="Smartphone"/>
    <n v="2"/>
    <n v="2600"/>
    <n v="5200"/>
    <s v="02"/>
  </r>
  <r>
    <n v="1292"/>
    <x v="11"/>
    <x v="3"/>
    <x v="1"/>
    <s v="Furniture"/>
    <s v="Chair"/>
    <n v="3"/>
    <n v="58000"/>
    <n v="174000"/>
    <s v="02"/>
  </r>
  <r>
    <n v="1293"/>
    <x v="12"/>
    <x v="0"/>
    <x v="8"/>
    <s v="Clothing"/>
    <s v="Jacket"/>
    <n v="2"/>
    <n v="11000"/>
    <n v="22000"/>
    <s v="02"/>
  </r>
  <r>
    <n v="1294"/>
    <x v="13"/>
    <x v="1"/>
    <x v="3"/>
    <s v="Electronics"/>
    <s v="Laptop"/>
    <n v="1"/>
    <n v="2200"/>
    <n v="2200"/>
    <s v="02"/>
  </r>
  <r>
    <n v="1295"/>
    <x v="14"/>
    <x v="2"/>
    <x v="9"/>
    <s v="Furniture"/>
    <s v="Table"/>
    <n v="1"/>
    <n v="55000"/>
    <n v="55000"/>
    <s v="02"/>
  </r>
  <r>
    <n v="1296"/>
    <x v="15"/>
    <x v="3"/>
    <x v="0"/>
    <s v="Electronics"/>
    <s v="Headphones"/>
    <n v="4"/>
    <n v="3500"/>
    <n v="14000"/>
    <s v="02"/>
  </r>
  <r>
    <n v="1297"/>
    <x v="16"/>
    <x v="0"/>
    <x v="4"/>
    <s v="Clothing"/>
    <s v="Shoes"/>
    <n v="2"/>
    <n v="22000"/>
    <n v="44000"/>
    <s v="02"/>
  </r>
  <r>
    <n v="1298"/>
    <x v="17"/>
    <x v="1"/>
    <x v="5"/>
    <s v="Furniture"/>
    <s v="Sofa"/>
    <n v="1"/>
    <n v="2500"/>
    <n v="2500"/>
    <s v="02"/>
  </r>
  <r>
    <n v="1299"/>
    <x v="18"/>
    <x v="2"/>
    <x v="6"/>
    <s v="Electronics"/>
    <s v="Laptop"/>
    <n v="1"/>
    <n v="12000"/>
    <n v="12000"/>
    <s v="02"/>
  </r>
  <r>
    <n v="1300"/>
    <x v="19"/>
    <x v="3"/>
    <x v="7"/>
    <s v="Clothing"/>
    <s v="T-shirt"/>
    <n v="5"/>
    <n v="2000"/>
    <n v="10000"/>
    <s v="02"/>
  </r>
  <r>
    <n v="1301"/>
    <x v="0"/>
    <x v="0"/>
    <x v="0"/>
    <s v="Electronics"/>
    <s v="Laptop"/>
    <n v="2"/>
    <n v="3000"/>
    <n v="6000"/>
    <s v="01"/>
  </r>
  <r>
    <n v="1302"/>
    <x v="1"/>
    <x v="1"/>
    <x v="1"/>
    <s v="Furniture"/>
    <s v="Chair"/>
    <n v="5"/>
    <n v="60000"/>
    <n v="300000"/>
    <s v="01"/>
  </r>
  <r>
    <n v="1303"/>
    <x v="2"/>
    <x v="2"/>
    <x v="2"/>
    <s v="Electronics"/>
    <s v="Smartphone"/>
    <n v="3"/>
    <n v="45000"/>
    <n v="135000"/>
    <s v="01"/>
  </r>
  <r>
    <n v="1304"/>
    <x v="3"/>
    <x v="3"/>
    <x v="3"/>
    <s v="Clothing"/>
    <s v="Jacket"/>
    <n v="4"/>
    <n v="800"/>
    <n v="3200"/>
    <s v="01"/>
  </r>
  <r>
    <n v="1305"/>
    <x v="4"/>
    <x v="0"/>
    <x v="1"/>
    <s v="Furniture"/>
    <s v="Table"/>
    <n v="2"/>
    <n v="21000"/>
    <n v="42000"/>
    <s v="01"/>
  </r>
  <r>
    <n v="1306"/>
    <x v="5"/>
    <x v="1"/>
    <x v="4"/>
    <s v="Electronics"/>
    <s v="Headphones"/>
    <n v="6"/>
    <n v="3500"/>
    <n v="21000"/>
    <s v="01"/>
  </r>
  <r>
    <n v="1307"/>
    <x v="6"/>
    <x v="2"/>
    <x v="0"/>
    <s v="Clothing"/>
    <s v="Shoes"/>
    <n v="3"/>
    <n v="2600"/>
    <n v="7800"/>
    <s v="01"/>
  </r>
  <r>
    <n v="1308"/>
    <x v="7"/>
    <x v="3"/>
    <x v="5"/>
    <s v="Electronics"/>
    <s v="Laptop"/>
    <n v="1"/>
    <n v="58000"/>
    <n v="58000"/>
    <s v="01"/>
  </r>
  <r>
    <n v="1309"/>
    <x v="8"/>
    <x v="0"/>
    <x v="6"/>
    <s v="Furniture"/>
    <s v="Sofa"/>
    <n v="1"/>
    <n v="11000"/>
    <n v="11000"/>
    <s v="01"/>
  </r>
  <r>
    <n v="1310"/>
    <x v="9"/>
    <x v="1"/>
    <x v="2"/>
    <s v="Clothing"/>
    <s v="T-shirt"/>
    <n v="10"/>
    <n v="2200"/>
    <n v="22000"/>
    <s v="01"/>
  </r>
  <r>
    <n v="1311"/>
    <x v="10"/>
    <x v="2"/>
    <x v="7"/>
    <s v="Electronics"/>
    <s v="Smartphone"/>
    <n v="2"/>
    <n v="3200"/>
    <n v="6400"/>
    <s v="02"/>
  </r>
  <r>
    <n v="1312"/>
    <x v="11"/>
    <x v="3"/>
    <x v="1"/>
    <s v="Furniture"/>
    <s v="Chair"/>
    <n v="3"/>
    <n v="47000"/>
    <n v="141000"/>
    <s v="02"/>
  </r>
  <r>
    <n v="1313"/>
    <x v="12"/>
    <x v="0"/>
    <x v="8"/>
    <s v="Clothing"/>
    <s v="Jacket"/>
    <n v="2"/>
    <n v="59000"/>
    <n v="118000"/>
    <s v="02"/>
  </r>
  <r>
    <n v="1314"/>
    <x v="13"/>
    <x v="1"/>
    <x v="3"/>
    <s v="Electronics"/>
    <s v="Laptop"/>
    <n v="1"/>
    <n v="850"/>
    <n v="850"/>
    <s v="02"/>
  </r>
  <r>
    <n v="1315"/>
    <x v="14"/>
    <x v="2"/>
    <x v="9"/>
    <s v="Furniture"/>
    <s v="Table"/>
    <n v="1"/>
    <n v="3500"/>
    <n v="3500"/>
    <s v="02"/>
  </r>
  <r>
    <n v="1316"/>
    <x v="15"/>
    <x v="3"/>
    <x v="0"/>
    <s v="Electronics"/>
    <s v="Headphones"/>
    <n v="4"/>
    <n v="2600"/>
    <n v="10400"/>
    <s v="02"/>
  </r>
  <r>
    <n v="1317"/>
    <x v="16"/>
    <x v="0"/>
    <x v="4"/>
    <s v="Clothing"/>
    <s v="Shoes"/>
    <n v="2"/>
    <n v="58000"/>
    <n v="116000"/>
    <s v="02"/>
  </r>
  <r>
    <n v="1318"/>
    <x v="17"/>
    <x v="1"/>
    <x v="5"/>
    <s v="Furniture"/>
    <s v="Sofa"/>
    <n v="1"/>
    <n v="11000"/>
    <n v="11000"/>
    <s v="02"/>
  </r>
  <r>
    <n v="1319"/>
    <x v="18"/>
    <x v="2"/>
    <x v="6"/>
    <s v="Electronics"/>
    <s v="Laptop"/>
    <n v="1"/>
    <n v="2200"/>
    <n v="2200"/>
    <s v="02"/>
  </r>
  <r>
    <n v="1320"/>
    <x v="19"/>
    <x v="3"/>
    <x v="7"/>
    <s v="Clothing"/>
    <s v="T-shirt"/>
    <n v="5"/>
    <n v="3200"/>
    <n v="16000"/>
    <s v="02"/>
  </r>
  <r>
    <n v="1321"/>
    <x v="0"/>
    <x v="0"/>
    <x v="0"/>
    <s v="Electronics"/>
    <s v="Laptop"/>
    <n v="2"/>
    <n v="47000"/>
    <n v="94000"/>
    <s v="01"/>
  </r>
  <r>
    <n v="1322"/>
    <x v="1"/>
    <x v="1"/>
    <x v="1"/>
    <s v="Furniture"/>
    <s v="Chair"/>
    <n v="5"/>
    <n v="59000"/>
    <n v="295000"/>
    <s v="01"/>
  </r>
  <r>
    <n v="1323"/>
    <x v="2"/>
    <x v="2"/>
    <x v="2"/>
    <s v="Electronics"/>
    <s v="Smartphone"/>
    <n v="3"/>
    <n v="850"/>
    <n v="2550"/>
    <s v="01"/>
  </r>
  <r>
    <n v="1324"/>
    <x v="3"/>
    <x v="3"/>
    <x v="3"/>
    <s v="Clothing"/>
    <s v="Jacket"/>
    <n v="4"/>
    <n v="2500"/>
    <n v="10000"/>
    <s v="01"/>
  </r>
  <r>
    <n v="1325"/>
    <x v="4"/>
    <x v="0"/>
    <x v="1"/>
    <s v="Furniture"/>
    <s v="Table"/>
    <n v="2"/>
    <n v="12000"/>
    <n v="24000"/>
    <s v="01"/>
  </r>
  <r>
    <n v="1326"/>
    <x v="5"/>
    <x v="1"/>
    <x v="4"/>
    <s v="Electronics"/>
    <s v="Headphones"/>
    <n v="6"/>
    <n v="2000"/>
    <n v="12000"/>
    <s v="01"/>
  </r>
  <r>
    <n v="1327"/>
    <x v="6"/>
    <x v="2"/>
    <x v="0"/>
    <s v="Clothing"/>
    <s v="Shoes"/>
    <n v="3"/>
    <n v="3000"/>
    <n v="9000"/>
    <s v="01"/>
  </r>
  <r>
    <n v="1328"/>
    <x v="7"/>
    <x v="3"/>
    <x v="5"/>
    <s v="Electronics"/>
    <s v="Laptop"/>
    <n v="1"/>
    <n v="60000"/>
    <n v="60000"/>
    <s v="01"/>
  </r>
  <r>
    <n v="1329"/>
    <x v="8"/>
    <x v="0"/>
    <x v="6"/>
    <s v="Furniture"/>
    <s v="Sofa"/>
    <n v="1"/>
    <n v="45000"/>
    <n v="45000"/>
    <s v="01"/>
  </r>
  <r>
    <n v="1330"/>
    <x v="9"/>
    <x v="1"/>
    <x v="2"/>
    <s v="Clothing"/>
    <s v="T-shirt"/>
    <n v="10"/>
    <n v="800"/>
    <n v="8000"/>
    <s v="01"/>
  </r>
  <r>
    <n v="1331"/>
    <x v="10"/>
    <x v="2"/>
    <x v="7"/>
    <s v="Electronics"/>
    <s v="Smartphone"/>
    <n v="2"/>
    <n v="21000"/>
    <n v="42000"/>
    <s v="02"/>
  </r>
  <r>
    <n v="1332"/>
    <x v="11"/>
    <x v="3"/>
    <x v="1"/>
    <s v="Furniture"/>
    <s v="Chair"/>
    <n v="3"/>
    <n v="3500"/>
    <n v="10500"/>
    <s v="02"/>
  </r>
  <r>
    <n v="1333"/>
    <x v="12"/>
    <x v="0"/>
    <x v="8"/>
    <s v="Clothing"/>
    <s v="Jacket"/>
    <n v="2"/>
    <n v="2600"/>
    <n v="5200"/>
    <s v="02"/>
  </r>
  <r>
    <n v="1334"/>
    <x v="13"/>
    <x v="1"/>
    <x v="3"/>
    <s v="Electronics"/>
    <s v="Laptop"/>
    <n v="1"/>
    <n v="58000"/>
    <n v="58000"/>
    <s v="02"/>
  </r>
  <r>
    <n v="1335"/>
    <x v="14"/>
    <x v="2"/>
    <x v="9"/>
    <s v="Furniture"/>
    <s v="Table"/>
    <n v="1"/>
    <n v="11000"/>
    <n v="11000"/>
    <s v="02"/>
  </r>
  <r>
    <n v="1336"/>
    <x v="15"/>
    <x v="3"/>
    <x v="0"/>
    <s v="Electronics"/>
    <s v="Headphones"/>
    <n v="4"/>
    <n v="2200"/>
    <n v="8800"/>
    <s v="02"/>
  </r>
  <r>
    <n v="1337"/>
    <x v="16"/>
    <x v="0"/>
    <x v="4"/>
    <s v="Clothing"/>
    <s v="Shoes"/>
    <n v="2"/>
    <n v="55000"/>
    <n v="110000"/>
    <s v="02"/>
  </r>
  <r>
    <n v="1338"/>
    <x v="17"/>
    <x v="1"/>
    <x v="5"/>
    <s v="Furniture"/>
    <s v="Sofa"/>
    <n v="1"/>
    <n v="3500"/>
    <n v="3500"/>
    <s v="02"/>
  </r>
  <r>
    <n v="1339"/>
    <x v="18"/>
    <x v="2"/>
    <x v="6"/>
    <s v="Electronics"/>
    <s v="Laptop"/>
    <n v="1"/>
    <n v="22000"/>
    <n v="22000"/>
    <s v="02"/>
  </r>
  <r>
    <n v="1340"/>
    <x v="19"/>
    <x v="3"/>
    <x v="7"/>
    <s v="Clothing"/>
    <s v="T-shirt"/>
    <n v="5"/>
    <n v="2500"/>
    <n v="12500"/>
    <s v="02"/>
  </r>
  <r>
    <n v="1341"/>
    <x v="0"/>
    <x v="0"/>
    <x v="0"/>
    <s v="Electronics"/>
    <s v="Laptop"/>
    <n v="2"/>
    <n v="12000"/>
    <n v="24000"/>
    <s v="01"/>
  </r>
  <r>
    <n v="1342"/>
    <x v="1"/>
    <x v="1"/>
    <x v="1"/>
    <s v="Furniture"/>
    <s v="Chair"/>
    <n v="5"/>
    <n v="2000"/>
    <n v="10000"/>
    <s v="01"/>
  </r>
  <r>
    <n v="1343"/>
    <x v="2"/>
    <x v="2"/>
    <x v="2"/>
    <s v="Electronics"/>
    <s v="Smartphone"/>
    <n v="3"/>
    <n v="3000"/>
    <n v="9000"/>
    <s v="01"/>
  </r>
  <r>
    <n v="1344"/>
    <x v="3"/>
    <x v="3"/>
    <x v="3"/>
    <s v="Clothing"/>
    <s v="Jacket"/>
    <n v="4"/>
    <n v="60000"/>
    <n v="240000"/>
    <s v="01"/>
  </r>
  <r>
    <n v="1345"/>
    <x v="4"/>
    <x v="0"/>
    <x v="1"/>
    <s v="Furniture"/>
    <s v="Table"/>
    <n v="2"/>
    <n v="45000"/>
    <n v="90000"/>
    <s v="01"/>
  </r>
  <r>
    <n v="1346"/>
    <x v="5"/>
    <x v="1"/>
    <x v="4"/>
    <s v="Electronics"/>
    <s v="Headphones"/>
    <n v="6"/>
    <n v="800"/>
    <n v="4800"/>
    <s v="01"/>
  </r>
  <r>
    <n v="1347"/>
    <x v="6"/>
    <x v="2"/>
    <x v="0"/>
    <s v="Clothing"/>
    <s v="Shoes"/>
    <n v="3"/>
    <n v="21000"/>
    <n v="63000"/>
    <s v="01"/>
  </r>
  <r>
    <n v="1348"/>
    <x v="7"/>
    <x v="3"/>
    <x v="5"/>
    <s v="Electronics"/>
    <s v="Laptop"/>
    <n v="1"/>
    <n v="3500"/>
    <n v="3500"/>
    <s v="01"/>
  </r>
  <r>
    <n v="1349"/>
    <x v="8"/>
    <x v="0"/>
    <x v="6"/>
    <s v="Furniture"/>
    <s v="Sofa"/>
    <n v="1"/>
    <n v="2600"/>
    <n v="2600"/>
    <s v="01"/>
  </r>
  <r>
    <n v="1350"/>
    <x v="9"/>
    <x v="1"/>
    <x v="2"/>
    <s v="Clothing"/>
    <s v="T-shirt"/>
    <n v="10"/>
    <n v="58000"/>
    <n v="580000"/>
    <s v="01"/>
  </r>
  <r>
    <n v="1351"/>
    <x v="10"/>
    <x v="2"/>
    <x v="7"/>
    <s v="Electronics"/>
    <s v="Smartphone"/>
    <n v="2"/>
    <n v="11000"/>
    <n v="22000"/>
    <s v="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3ADD2-127B-4AD1-A45A-811D42475D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H6" firstHeaderRow="0" firstDataRow="1" firstDataCol="1"/>
  <pivotFields count="12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8F949-46FD-4638-8A29-E247DAEC8C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2">
    <pivotField dataField="1"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ID" fld="0" baseField="0" baseItem="0"/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3DA27-4D9E-4B34-B69C-90B6CEF0E5A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20" firstHeaderRow="0" firstDataRow="1" firstDataCol="1"/>
  <pivotFields count="12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8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8946-308C-4800-89F2-946D20D1774D}">
  <dimension ref="A1:X415"/>
  <sheetViews>
    <sheetView tabSelected="1" topLeftCell="E1" workbookViewId="0">
      <selection activeCell="S4" sqref="S4"/>
    </sheetView>
  </sheetViews>
  <sheetFormatPr defaultRowHeight="14.5" x14ac:dyDescent="0.35"/>
  <cols>
    <col min="2" max="2" width="10.453125" customWidth="1"/>
    <col min="4" max="4" width="11.6328125" customWidth="1"/>
    <col min="5" max="5" width="10.36328125" customWidth="1"/>
    <col min="9" max="9" width="9.81640625" bestFit="1" customWidth="1"/>
    <col min="10" max="10" width="11.54296875" customWidth="1"/>
    <col min="13" max="13" width="12.1796875" customWidth="1"/>
    <col min="14" max="14" width="14.1796875" customWidth="1"/>
    <col min="16" max="16" width="12.90625" bestFit="1" customWidth="1"/>
    <col min="19" max="19" width="14.7265625" customWidth="1"/>
    <col min="20" max="20" width="10.54296875" customWidth="1"/>
    <col min="21" max="21" width="10.81640625" customWidth="1"/>
  </cols>
  <sheetData>
    <row r="1" spans="1:24" ht="5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45</v>
      </c>
      <c r="J1" s="3" t="s">
        <v>46</v>
      </c>
      <c r="K1" s="5" t="s">
        <v>34</v>
      </c>
      <c r="L1" s="5" t="s">
        <v>37</v>
      </c>
      <c r="M1" s="5" t="s">
        <v>47</v>
      </c>
      <c r="N1" s="5" t="s">
        <v>48</v>
      </c>
      <c r="O1" s="5" t="s">
        <v>49</v>
      </c>
      <c r="P1" s="5"/>
    </row>
    <row r="2" spans="1:24" ht="14.5" customHeight="1" x14ac:dyDescent="0.35">
      <c r="A2">
        <v>1001</v>
      </c>
      <c r="B2">
        <v>45660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55000</v>
      </c>
      <c r="I2" s="4">
        <v>48000</v>
      </c>
      <c r="J2" s="4">
        <v>5</v>
      </c>
      <c r="K2">
        <f>H2*G2</f>
        <v>110000</v>
      </c>
      <c r="L2" t="s">
        <v>43</v>
      </c>
      <c r="M2">
        <f>K2*(J2)%</f>
        <v>5500</v>
      </c>
      <c r="N2">
        <f>K2-(I2*G2)-M2</f>
        <v>8500</v>
      </c>
      <c r="O2" s="6">
        <f>N2/K2</f>
        <v>7.7272727272727271E-2</v>
      </c>
      <c r="S2" s="8"/>
      <c r="T2" s="8"/>
      <c r="U2" s="8"/>
      <c r="V2" s="8"/>
      <c r="W2" s="8"/>
      <c r="X2" s="8"/>
    </row>
    <row r="3" spans="1:24" ht="14.5" customHeight="1" x14ac:dyDescent="0.35">
      <c r="A3">
        <v>1002</v>
      </c>
      <c r="B3">
        <v>45662</v>
      </c>
      <c r="C3" t="s">
        <v>12</v>
      </c>
      <c r="D3" t="s">
        <v>13</v>
      </c>
      <c r="E3" t="s">
        <v>14</v>
      </c>
      <c r="F3" t="s">
        <v>15</v>
      </c>
      <c r="G3">
        <v>5</v>
      </c>
      <c r="H3">
        <v>3500</v>
      </c>
      <c r="I3" s="4">
        <v>2500</v>
      </c>
      <c r="J3" s="4">
        <v>6</v>
      </c>
      <c r="K3">
        <f t="shared" ref="K3:K66" si="0">H3*G3</f>
        <v>17500</v>
      </c>
      <c r="L3" t="s">
        <v>43</v>
      </c>
      <c r="M3">
        <f t="shared" ref="M3:M66" si="1">K3*(J3)%</f>
        <v>1050</v>
      </c>
      <c r="N3">
        <f>K3-(I3*G3)-M3</f>
        <v>3950</v>
      </c>
      <c r="O3" s="6">
        <f t="shared" ref="O3:O66" si="2">N3/K3</f>
        <v>0.2257142857142857</v>
      </c>
      <c r="S3" s="8"/>
      <c r="T3" s="8"/>
      <c r="U3" s="8"/>
      <c r="V3" s="8"/>
      <c r="W3" s="8"/>
      <c r="X3" s="8"/>
    </row>
    <row r="4" spans="1:24" ht="14.5" customHeight="1" x14ac:dyDescent="0.35">
      <c r="A4">
        <v>1003</v>
      </c>
      <c r="B4">
        <v>45663</v>
      </c>
      <c r="C4" t="s">
        <v>16</v>
      </c>
      <c r="D4" t="s">
        <v>17</v>
      </c>
      <c r="E4" t="s">
        <v>10</v>
      </c>
      <c r="F4" t="s">
        <v>18</v>
      </c>
      <c r="G4">
        <v>3</v>
      </c>
      <c r="H4">
        <v>22000</v>
      </c>
      <c r="I4" s="4">
        <v>18000</v>
      </c>
      <c r="J4" s="4">
        <v>10</v>
      </c>
      <c r="K4">
        <f t="shared" si="0"/>
        <v>66000</v>
      </c>
      <c r="L4" t="s">
        <v>43</v>
      </c>
      <c r="M4">
        <f t="shared" si="1"/>
        <v>6600</v>
      </c>
      <c r="N4">
        <f t="shared" ref="N4:N66" si="3">K4-(I4*G4)-M4</f>
        <v>5400</v>
      </c>
      <c r="O4" s="6">
        <f t="shared" si="2"/>
        <v>8.1818181818181818E-2</v>
      </c>
      <c r="S4" s="8"/>
      <c r="T4" s="8"/>
      <c r="U4" s="8"/>
      <c r="V4" s="8"/>
      <c r="W4" s="8"/>
      <c r="X4" s="8"/>
    </row>
    <row r="5" spans="1:24" ht="14.5" customHeight="1" x14ac:dyDescent="0.35">
      <c r="A5">
        <v>1004</v>
      </c>
      <c r="B5">
        <v>45664</v>
      </c>
      <c r="C5" t="s">
        <v>19</v>
      </c>
      <c r="D5" t="s">
        <v>20</v>
      </c>
      <c r="E5" t="s">
        <v>21</v>
      </c>
      <c r="F5" t="s">
        <v>22</v>
      </c>
      <c r="G5">
        <v>4</v>
      </c>
      <c r="H5">
        <v>2500</v>
      </c>
      <c r="I5" s="4">
        <v>1500</v>
      </c>
      <c r="J5" s="4">
        <v>0</v>
      </c>
      <c r="K5">
        <f t="shared" si="0"/>
        <v>10000</v>
      </c>
      <c r="L5" t="s">
        <v>43</v>
      </c>
      <c r="M5">
        <f t="shared" si="1"/>
        <v>0</v>
      </c>
      <c r="N5">
        <f t="shared" si="3"/>
        <v>4000</v>
      </c>
      <c r="O5" s="6">
        <f t="shared" si="2"/>
        <v>0.4</v>
      </c>
      <c r="S5" s="8"/>
      <c r="T5" s="8"/>
      <c r="U5" s="8"/>
      <c r="V5" s="8"/>
      <c r="W5" s="8"/>
      <c r="X5" s="8"/>
    </row>
    <row r="6" spans="1:24" ht="14.5" customHeight="1" x14ac:dyDescent="0.35">
      <c r="A6">
        <v>1005</v>
      </c>
      <c r="B6">
        <v>45667</v>
      </c>
      <c r="C6" t="s">
        <v>8</v>
      </c>
      <c r="D6" t="s">
        <v>13</v>
      </c>
      <c r="E6" t="s">
        <v>14</v>
      </c>
      <c r="F6" t="s">
        <v>23</v>
      </c>
      <c r="G6">
        <v>2</v>
      </c>
      <c r="H6">
        <v>12000</v>
      </c>
      <c r="I6" s="4">
        <v>9000</v>
      </c>
      <c r="J6" s="4">
        <v>5</v>
      </c>
      <c r="K6">
        <f t="shared" si="0"/>
        <v>24000</v>
      </c>
      <c r="L6" t="s">
        <v>43</v>
      </c>
      <c r="M6">
        <f t="shared" si="1"/>
        <v>1200</v>
      </c>
      <c r="N6">
        <f t="shared" si="3"/>
        <v>4800</v>
      </c>
      <c r="O6" s="6">
        <f t="shared" si="2"/>
        <v>0.2</v>
      </c>
      <c r="S6" s="8"/>
      <c r="T6" s="8"/>
      <c r="U6" s="8"/>
      <c r="V6" s="8"/>
      <c r="W6" s="8"/>
      <c r="X6" s="8"/>
    </row>
    <row r="7" spans="1:24" ht="14.5" customHeight="1" x14ac:dyDescent="0.35">
      <c r="A7">
        <v>1006</v>
      </c>
      <c r="B7">
        <v>45668</v>
      </c>
      <c r="C7" t="s">
        <v>12</v>
      </c>
      <c r="D7" t="s">
        <v>24</v>
      </c>
      <c r="E7" t="s">
        <v>10</v>
      </c>
      <c r="F7" t="s">
        <v>25</v>
      </c>
      <c r="G7">
        <v>6</v>
      </c>
      <c r="H7">
        <v>2000</v>
      </c>
      <c r="I7" s="4">
        <v>1200</v>
      </c>
      <c r="J7" s="4">
        <v>0</v>
      </c>
      <c r="K7">
        <f t="shared" si="0"/>
        <v>12000</v>
      </c>
      <c r="L7" t="s">
        <v>43</v>
      </c>
      <c r="M7">
        <f t="shared" si="1"/>
        <v>0</v>
      </c>
      <c r="N7">
        <f t="shared" si="3"/>
        <v>4800</v>
      </c>
      <c r="O7" s="6">
        <f t="shared" si="2"/>
        <v>0.4</v>
      </c>
      <c r="S7" s="8"/>
      <c r="T7" s="8"/>
      <c r="U7" s="8"/>
      <c r="V7" s="8"/>
      <c r="W7" s="8"/>
      <c r="X7" s="8"/>
    </row>
    <row r="8" spans="1:24" x14ac:dyDescent="0.35">
      <c r="A8">
        <v>1007</v>
      </c>
      <c r="B8">
        <v>45670</v>
      </c>
      <c r="C8" t="s">
        <v>16</v>
      </c>
      <c r="D8" t="s">
        <v>9</v>
      </c>
      <c r="E8" t="s">
        <v>21</v>
      </c>
      <c r="F8" t="s">
        <v>26</v>
      </c>
      <c r="G8">
        <v>3</v>
      </c>
      <c r="H8">
        <v>3000</v>
      </c>
      <c r="I8" s="4">
        <v>2000</v>
      </c>
      <c r="J8" s="4">
        <v>0</v>
      </c>
      <c r="K8">
        <f t="shared" si="0"/>
        <v>9000</v>
      </c>
      <c r="L8" t="s">
        <v>43</v>
      </c>
      <c r="M8">
        <f t="shared" si="1"/>
        <v>0</v>
      </c>
      <c r="N8">
        <f t="shared" si="3"/>
        <v>3000</v>
      </c>
      <c r="O8" s="6">
        <f t="shared" si="2"/>
        <v>0.33333333333333331</v>
      </c>
    </row>
    <row r="9" spans="1:24" x14ac:dyDescent="0.35">
      <c r="A9">
        <v>1008</v>
      </c>
      <c r="B9">
        <v>45672</v>
      </c>
      <c r="C9" t="s">
        <v>19</v>
      </c>
      <c r="D9" t="s">
        <v>27</v>
      </c>
      <c r="E9" t="s">
        <v>10</v>
      </c>
      <c r="F9" t="s">
        <v>11</v>
      </c>
      <c r="G9">
        <v>1</v>
      </c>
      <c r="H9">
        <v>60000</v>
      </c>
      <c r="I9" s="4">
        <v>52000</v>
      </c>
      <c r="J9" s="4">
        <v>10</v>
      </c>
      <c r="K9">
        <f t="shared" si="0"/>
        <v>60000</v>
      </c>
      <c r="L9" t="s">
        <v>43</v>
      </c>
      <c r="M9">
        <f t="shared" si="1"/>
        <v>6000</v>
      </c>
      <c r="N9">
        <f t="shared" si="3"/>
        <v>2000</v>
      </c>
      <c r="O9" s="6">
        <f t="shared" si="2"/>
        <v>3.3333333333333333E-2</v>
      </c>
    </row>
    <row r="10" spans="1:24" x14ac:dyDescent="0.35">
      <c r="A10">
        <v>1009</v>
      </c>
      <c r="B10">
        <v>45675</v>
      </c>
      <c r="C10" t="s">
        <v>8</v>
      </c>
      <c r="D10" t="s">
        <v>28</v>
      </c>
      <c r="E10" t="s">
        <v>14</v>
      </c>
      <c r="F10" t="s">
        <v>29</v>
      </c>
      <c r="G10">
        <v>1</v>
      </c>
      <c r="H10">
        <v>45000</v>
      </c>
      <c r="I10" s="4">
        <v>38000</v>
      </c>
      <c r="J10" s="4">
        <v>5</v>
      </c>
      <c r="K10">
        <f t="shared" si="0"/>
        <v>45000</v>
      </c>
      <c r="L10" t="s">
        <v>43</v>
      </c>
      <c r="M10">
        <f t="shared" si="1"/>
        <v>2250</v>
      </c>
      <c r="N10">
        <f t="shared" si="3"/>
        <v>4750</v>
      </c>
      <c r="O10" s="6">
        <f t="shared" si="2"/>
        <v>0.10555555555555556</v>
      </c>
    </row>
    <row r="11" spans="1:24" x14ac:dyDescent="0.35">
      <c r="A11">
        <v>1010</v>
      </c>
      <c r="B11">
        <v>45677</v>
      </c>
      <c r="C11" t="s">
        <v>12</v>
      </c>
      <c r="D11" t="s">
        <v>17</v>
      </c>
      <c r="E11" t="s">
        <v>21</v>
      </c>
      <c r="F11" t="s">
        <v>30</v>
      </c>
      <c r="G11">
        <v>10</v>
      </c>
      <c r="H11">
        <v>800</v>
      </c>
      <c r="I11" s="4">
        <v>400</v>
      </c>
      <c r="J11" s="4">
        <v>15</v>
      </c>
      <c r="K11">
        <f t="shared" si="0"/>
        <v>8000</v>
      </c>
      <c r="L11" t="s">
        <v>43</v>
      </c>
      <c r="M11">
        <f t="shared" si="1"/>
        <v>1200</v>
      </c>
      <c r="N11">
        <f t="shared" si="3"/>
        <v>2800</v>
      </c>
      <c r="O11" s="6">
        <f t="shared" si="2"/>
        <v>0.35</v>
      </c>
    </row>
    <row r="12" spans="1:24" x14ac:dyDescent="0.35">
      <c r="A12">
        <v>1011</v>
      </c>
      <c r="B12">
        <v>45690</v>
      </c>
      <c r="C12" t="s">
        <v>16</v>
      </c>
      <c r="D12" t="s">
        <v>31</v>
      </c>
      <c r="E12" t="s">
        <v>10</v>
      </c>
      <c r="F12" t="s">
        <v>18</v>
      </c>
      <c r="G12">
        <v>2</v>
      </c>
      <c r="H12">
        <v>21000</v>
      </c>
      <c r="I12" s="4">
        <v>17000</v>
      </c>
      <c r="J12" s="4">
        <v>10</v>
      </c>
      <c r="K12">
        <f t="shared" si="0"/>
        <v>42000</v>
      </c>
      <c r="L12" t="s">
        <v>44</v>
      </c>
      <c r="M12">
        <f t="shared" si="1"/>
        <v>4200</v>
      </c>
      <c r="N12">
        <f t="shared" si="3"/>
        <v>3800</v>
      </c>
      <c r="O12" s="6">
        <f t="shared" si="2"/>
        <v>9.0476190476190474E-2</v>
      </c>
    </row>
    <row r="13" spans="1:24" x14ac:dyDescent="0.35">
      <c r="A13">
        <v>1012</v>
      </c>
      <c r="B13">
        <v>45692</v>
      </c>
      <c r="C13" t="s">
        <v>19</v>
      </c>
      <c r="D13" t="s">
        <v>13</v>
      </c>
      <c r="E13" t="s">
        <v>14</v>
      </c>
      <c r="F13" t="s">
        <v>15</v>
      </c>
      <c r="G13">
        <v>3</v>
      </c>
      <c r="H13">
        <v>3500</v>
      </c>
      <c r="I13" s="4">
        <v>2500</v>
      </c>
      <c r="J13" s="4">
        <v>0</v>
      </c>
      <c r="K13">
        <f t="shared" si="0"/>
        <v>10500</v>
      </c>
      <c r="L13" t="s">
        <v>44</v>
      </c>
      <c r="M13">
        <f t="shared" si="1"/>
        <v>0</v>
      </c>
      <c r="N13">
        <f t="shared" si="3"/>
        <v>3000</v>
      </c>
      <c r="O13" s="6">
        <f t="shared" si="2"/>
        <v>0.2857142857142857</v>
      </c>
    </row>
    <row r="14" spans="1:24" x14ac:dyDescent="0.35">
      <c r="A14">
        <v>1013</v>
      </c>
      <c r="B14">
        <v>45694</v>
      </c>
      <c r="C14" t="s">
        <v>8</v>
      </c>
      <c r="D14" t="s">
        <v>32</v>
      </c>
      <c r="E14" t="s">
        <v>21</v>
      </c>
      <c r="F14" t="s">
        <v>22</v>
      </c>
      <c r="G14">
        <v>2</v>
      </c>
      <c r="H14">
        <v>2600</v>
      </c>
      <c r="I14" s="4">
        <v>1500</v>
      </c>
      <c r="J14" s="4">
        <v>6</v>
      </c>
      <c r="K14">
        <f t="shared" si="0"/>
        <v>5200</v>
      </c>
      <c r="L14" t="s">
        <v>44</v>
      </c>
      <c r="M14">
        <f t="shared" si="1"/>
        <v>312</v>
      </c>
      <c r="N14">
        <f t="shared" si="3"/>
        <v>1888</v>
      </c>
      <c r="O14" s="6">
        <f t="shared" si="2"/>
        <v>0.36307692307692307</v>
      </c>
    </row>
    <row r="15" spans="1:24" x14ac:dyDescent="0.35">
      <c r="A15">
        <v>1014</v>
      </c>
      <c r="B15">
        <v>45696</v>
      </c>
      <c r="C15" t="s">
        <v>12</v>
      </c>
      <c r="D15" t="s">
        <v>20</v>
      </c>
      <c r="E15" t="s">
        <v>10</v>
      </c>
      <c r="F15" t="s">
        <v>11</v>
      </c>
      <c r="G15">
        <v>1</v>
      </c>
      <c r="H15">
        <v>58000</v>
      </c>
      <c r="I15" s="4">
        <v>50000</v>
      </c>
      <c r="J15" s="4">
        <v>5</v>
      </c>
      <c r="K15">
        <f t="shared" si="0"/>
        <v>58000</v>
      </c>
      <c r="L15" t="s">
        <v>44</v>
      </c>
      <c r="M15">
        <f t="shared" si="1"/>
        <v>2900</v>
      </c>
      <c r="N15">
        <f t="shared" si="3"/>
        <v>5100</v>
      </c>
      <c r="O15" s="6">
        <f t="shared" si="2"/>
        <v>8.7931034482758616E-2</v>
      </c>
    </row>
    <row r="16" spans="1:24" x14ac:dyDescent="0.35">
      <c r="A16">
        <v>1015</v>
      </c>
      <c r="B16">
        <v>45698</v>
      </c>
      <c r="C16" t="s">
        <v>16</v>
      </c>
      <c r="D16" t="s">
        <v>33</v>
      </c>
      <c r="E16" t="s">
        <v>14</v>
      </c>
      <c r="F16" t="s">
        <v>23</v>
      </c>
      <c r="G16">
        <v>1</v>
      </c>
      <c r="H16">
        <v>11000</v>
      </c>
      <c r="I16" s="4">
        <v>9000</v>
      </c>
      <c r="J16" s="4">
        <v>6</v>
      </c>
      <c r="K16">
        <f t="shared" si="0"/>
        <v>11000</v>
      </c>
      <c r="L16" t="s">
        <v>44</v>
      </c>
      <c r="M16">
        <f t="shared" si="1"/>
        <v>660</v>
      </c>
      <c r="N16">
        <f t="shared" si="3"/>
        <v>1340</v>
      </c>
      <c r="O16" s="6">
        <f t="shared" si="2"/>
        <v>0.12181818181818181</v>
      </c>
    </row>
    <row r="17" spans="1:22" x14ac:dyDescent="0.35">
      <c r="A17">
        <v>1016</v>
      </c>
      <c r="B17">
        <v>45700</v>
      </c>
      <c r="C17" t="s">
        <v>19</v>
      </c>
      <c r="D17" t="s">
        <v>9</v>
      </c>
      <c r="E17" t="s">
        <v>10</v>
      </c>
      <c r="F17" t="s">
        <v>25</v>
      </c>
      <c r="G17">
        <v>4</v>
      </c>
      <c r="H17">
        <v>2200</v>
      </c>
      <c r="I17" s="4">
        <v>1200</v>
      </c>
      <c r="J17" s="4">
        <v>0</v>
      </c>
      <c r="K17">
        <f t="shared" si="0"/>
        <v>8800</v>
      </c>
      <c r="L17" t="s">
        <v>44</v>
      </c>
      <c r="M17">
        <f t="shared" si="1"/>
        <v>0</v>
      </c>
      <c r="N17">
        <f t="shared" si="3"/>
        <v>4000</v>
      </c>
      <c r="O17" s="6">
        <f t="shared" si="2"/>
        <v>0.45454545454545453</v>
      </c>
    </row>
    <row r="18" spans="1:22" x14ac:dyDescent="0.35">
      <c r="A18">
        <v>1017</v>
      </c>
      <c r="B18">
        <v>45703</v>
      </c>
      <c r="C18" t="s">
        <v>8</v>
      </c>
      <c r="D18" t="s">
        <v>24</v>
      </c>
      <c r="E18" t="s">
        <v>21</v>
      </c>
      <c r="F18" t="s">
        <v>26</v>
      </c>
      <c r="G18">
        <v>2</v>
      </c>
      <c r="H18">
        <v>3200</v>
      </c>
      <c r="I18" s="4">
        <v>2000</v>
      </c>
      <c r="J18" s="4">
        <v>5</v>
      </c>
      <c r="K18">
        <f t="shared" si="0"/>
        <v>6400</v>
      </c>
      <c r="L18" t="s">
        <v>44</v>
      </c>
      <c r="M18">
        <f t="shared" si="1"/>
        <v>320</v>
      </c>
      <c r="N18">
        <f t="shared" si="3"/>
        <v>2080</v>
      </c>
      <c r="O18" s="6">
        <f t="shared" si="2"/>
        <v>0.32500000000000001</v>
      </c>
    </row>
    <row r="19" spans="1:22" x14ac:dyDescent="0.35">
      <c r="A19">
        <v>1018</v>
      </c>
      <c r="B19">
        <v>45706</v>
      </c>
      <c r="C19" t="s">
        <v>12</v>
      </c>
      <c r="D19" t="s">
        <v>27</v>
      </c>
      <c r="E19" t="s">
        <v>14</v>
      </c>
      <c r="F19" t="s">
        <v>29</v>
      </c>
      <c r="G19">
        <v>1</v>
      </c>
      <c r="H19">
        <v>47000</v>
      </c>
      <c r="I19" s="4">
        <v>39000</v>
      </c>
      <c r="J19" s="4">
        <v>10</v>
      </c>
      <c r="K19">
        <f t="shared" si="0"/>
        <v>47000</v>
      </c>
      <c r="L19" t="s">
        <v>44</v>
      </c>
      <c r="M19">
        <f t="shared" si="1"/>
        <v>4700</v>
      </c>
      <c r="N19">
        <f t="shared" si="3"/>
        <v>3300</v>
      </c>
      <c r="O19" s="6">
        <f t="shared" si="2"/>
        <v>7.0212765957446813E-2</v>
      </c>
    </row>
    <row r="20" spans="1:22" x14ac:dyDescent="0.35">
      <c r="A20">
        <v>1019</v>
      </c>
      <c r="B20">
        <v>45708</v>
      </c>
      <c r="C20" t="s">
        <v>16</v>
      </c>
      <c r="D20" t="s">
        <v>28</v>
      </c>
      <c r="E20" t="s">
        <v>10</v>
      </c>
      <c r="F20" t="s">
        <v>11</v>
      </c>
      <c r="G20">
        <v>1</v>
      </c>
      <c r="H20">
        <v>59000</v>
      </c>
      <c r="I20" s="4">
        <v>50000</v>
      </c>
      <c r="J20" s="4">
        <v>0</v>
      </c>
      <c r="K20">
        <f t="shared" si="0"/>
        <v>59000</v>
      </c>
      <c r="L20" t="s">
        <v>44</v>
      </c>
      <c r="M20">
        <f t="shared" si="1"/>
        <v>0</v>
      </c>
      <c r="N20">
        <f t="shared" si="3"/>
        <v>9000</v>
      </c>
      <c r="O20" s="6">
        <f t="shared" si="2"/>
        <v>0.15254237288135594</v>
      </c>
    </row>
    <row r="21" spans="1:22" x14ac:dyDescent="0.35">
      <c r="A21">
        <v>1020</v>
      </c>
      <c r="B21">
        <v>45710</v>
      </c>
      <c r="C21" t="s">
        <v>19</v>
      </c>
      <c r="D21" t="s">
        <v>31</v>
      </c>
      <c r="E21" t="s">
        <v>21</v>
      </c>
      <c r="F21" t="s">
        <v>30</v>
      </c>
      <c r="G21">
        <v>5</v>
      </c>
      <c r="H21">
        <v>850</v>
      </c>
      <c r="I21" s="4">
        <v>400</v>
      </c>
      <c r="J21" s="4">
        <v>17</v>
      </c>
      <c r="K21">
        <f t="shared" si="0"/>
        <v>4250</v>
      </c>
      <c r="L21" t="s">
        <v>44</v>
      </c>
      <c r="M21">
        <f t="shared" si="1"/>
        <v>722.5</v>
      </c>
      <c r="N21">
        <f t="shared" si="3"/>
        <v>1527.5</v>
      </c>
      <c r="O21" s="6">
        <f t="shared" si="2"/>
        <v>0.35941176470588238</v>
      </c>
    </row>
    <row r="22" spans="1:22" x14ac:dyDescent="0.35">
      <c r="A22">
        <v>1021</v>
      </c>
      <c r="B22">
        <v>45660</v>
      </c>
      <c r="C22" t="s">
        <v>8</v>
      </c>
      <c r="D22" t="s">
        <v>9</v>
      </c>
      <c r="E22" t="s">
        <v>10</v>
      </c>
      <c r="F22" t="s">
        <v>11</v>
      </c>
      <c r="G22">
        <v>2</v>
      </c>
      <c r="H22">
        <v>3500</v>
      </c>
      <c r="I22">
        <f>H22*90%</f>
        <v>3150</v>
      </c>
      <c r="J22" s="4">
        <v>5</v>
      </c>
      <c r="K22">
        <f t="shared" si="0"/>
        <v>7000</v>
      </c>
      <c r="L22" t="s">
        <v>43</v>
      </c>
      <c r="M22">
        <f t="shared" si="1"/>
        <v>350</v>
      </c>
      <c r="N22">
        <f t="shared" si="3"/>
        <v>350</v>
      </c>
      <c r="O22" s="6">
        <f t="shared" si="2"/>
        <v>0.05</v>
      </c>
    </row>
    <row r="23" spans="1:22" x14ac:dyDescent="0.35">
      <c r="A23">
        <v>1022</v>
      </c>
      <c r="B23">
        <v>45662</v>
      </c>
      <c r="C23" t="s">
        <v>12</v>
      </c>
      <c r="D23" t="s">
        <v>13</v>
      </c>
      <c r="E23" t="s">
        <v>14</v>
      </c>
      <c r="F23" t="s">
        <v>15</v>
      </c>
      <c r="G23">
        <v>5</v>
      </c>
      <c r="H23">
        <v>2600</v>
      </c>
      <c r="I23">
        <f t="shared" ref="I23:I86" si="4">H23*90%</f>
        <v>2340</v>
      </c>
      <c r="J23" s="4">
        <v>0</v>
      </c>
      <c r="K23">
        <f t="shared" si="0"/>
        <v>13000</v>
      </c>
      <c r="L23" t="s">
        <v>43</v>
      </c>
      <c r="M23">
        <f t="shared" si="1"/>
        <v>0</v>
      </c>
      <c r="N23">
        <f t="shared" si="3"/>
        <v>1300</v>
      </c>
      <c r="O23" s="6">
        <f t="shared" si="2"/>
        <v>0.1</v>
      </c>
      <c r="V23" s="7"/>
    </row>
    <row r="24" spans="1:22" x14ac:dyDescent="0.35">
      <c r="A24">
        <v>1023</v>
      </c>
      <c r="B24">
        <v>45663</v>
      </c>
      <c r="C24" t="s">
        <v>16</v>
      </c>
      <c r="D24" t="s">
        <v>17</v>
      </c>
      <c r="E24" t="s">
        <v>10</v>
      </c>
      <c r="F24" t="s">
        <v>18</v>
      </c>
      <c r="G24">
        <v>3</v>
      </c>
      <c r="H24">
        <v>58000</v>
      </c>
      <c r="I24">
        <f t="shared" si="4"/>
        <v>52200</v>
      </c>
      <c r="J24" s="4">
        <v>7</v>
      </c>
      <c r="K24">
        <f t="shared" si="0"/>
        <v>174000</v>
      </c>
      <c r="L24" t="s">
        <v>43</v>
      </c>
      <c r="M24">
        <f t="shared" si="1"/>
        <v>12180.000000000002</v>
      </c>
      <c r="N24">
        <f t="shared" si="3"/>
        <v>5219.9999999999982</v>
      </c>
      <c r="O24" s="6">
        <f t="shared" si="2"/>
        <v>2.9999999999999988E-2</v>
      </c>
      <c r="V24" s="7"/>
    </row>
    <row r="25" spans="1:22" x14ac:dyDescent="0.35">
      <c r="A25">
        <v>1024</v>
      </c>
      <c r="B25">
        <v>45664</v>
      </c>
      <c r="C25" t="s">
        <v>19</v>
      </c>
      <c r="D25" t="s">
        <v>20</v>
      </c>
      <c r="E25" t="s">
        <v>21</v>
      </c>
      <c r="F25" t="s">
        <v>22</v>
      </c>
      <c r="G25">
        <v>4</v>
      </c>
      <c r="H25">
        <v>11000</v>
      </c>
      <c r="I25">
        <f t="shared" si="4"/>
        <v>9900</v>
      </c>
      <c r="J25" s="4">
        <v>0</v>
      </c>
      <c r="K25">
        <f t="shared" si="0"/>
        <v>44000</v>
      </c>
      <c r="L25" t="s">
        <v>43</v>
      </c>
      <c r="M25">
        <f t="shared" si="1"/>
        <v>0</v>
      </c>
      <c r="N25">
        <f t="shared" si="3"/>
        <v>4400</v>
      </c>
      <c r="O25" s="6">
        <f t="shared" si="2"/>
        <v>0.1</v>
      </c>
      <c r="V25" s="7"/>
    </row>
    <row r="26" spans="1:22" x14ac:dyDescent="0.35">
      <c r="A26">
        <v>1025</v>
      </c>
      <c r="B26">
        <v>45667</v>
      </c>
      <c r="C26" t="s">
        <v>8</v>
      </c>
      <c r="D26" t="s">
        <v>13</v>
      </c>
      <c r="E26" t="s">
        <v>14</v>
      </c>
      <c r="F26" t="s">
        <v>23</v>
      </c>
      <c r="G26">
        <v>2</v>
      </c>
      <c r="H26">
        <v>2200</v>
      </c>
      <c r="I26">
        <f t="shared" si="4"/>
        <v>1980</v>
      </c>
      <c r="J26" s="4">
        <v>5</v>
      </c>
      <c r="K26">
        <f t="shared" si="0"/>
        <v>4400</v>
      </c>
      <c r="L26" t="s">
        <v>43</v>
      </c>
      <c r="M26">
        <f t="shared" si="1"/>
        <v>220</v>
      </c>
      <c r="N26">
        <f t="shared" si="3"/>
        <v>220</v>
      </c>
      <c r="O26" s="6">
        <f t="shared" si="2"/>
        <v>0.05</v>
      </c>
    </row>
    <row r="27" spans="1:22" x14ac:dyDescent="0.35">
      <c r="A27">
        <v>1026</v>
      </c>
      <c r="B27">
        <v>45668</v>
      </c>
      <c r="C27" t="s">
        <v>12</v>
      </c>
      <c r="D27" t="s">
        <v>24</v>
      </c>
      <c r="E27" t="s">
        <v>10</v>
      </c>
      <c r="F27" t="s">
        <v>25</v>
      </c>
      <c r="G27">
        <v>6</v>
      </c>
      <c r="H27">
        <v>3200</v>
      </c>
      <c r="I27">
        <f t="shared" si="4"/>
        <v>2880</v>
      </c>
      <c r="J27" s="4">
        <v>0</v>
      </c>
      <c r="K27">
        <f t="shared" si="0"/>
        <v>19200</v>
      </c>
      <c r="L27" t="s">
        <v>43</v>
      </c>
      <c r="M27">
        <f t="shared" si="1"/>
        <v>0</v>
      </c>
      <c r="N27">
        <f t="shared" si="3"/>
        <v>1920</v>
      </c>
      <c r="O27" s="6">
        <f t="shared" si="2"/>
        <v>0.1</v>
      </c>
    </row>
    <row r="28" spans="1:22" x14ac:dyDescent="0.35">
      <c r="A28">
        <v>1027</v>
      </c>
      <c r="B28">
        <v>45670</v>
      </c>
      <c r="C28" t="s">
        <v>16</v>
      </c>
      <c r="D28" t="s">
        <v>9</v>
      </c>
      <c r="E28" t="s">
        <v>21</v>
      </c>
      <c r="F28" t="s">
        <v>26</v>
      </c>
      <c r="G28">
        <v>3</v>
      </c>
      <c r="H28">
        <v>47000</v>
      </c>
      <c r="I28">
        <f t="shared" si="4"/>
        <v>42300</v>
      </c>
      <c r="J28" s="4">
        <v>0</v>
      </c>
      <c r="K28">
        <f t="shared" si="0"/>
        <v>141000</v>
      </c>
      <c r="L28" t="s">
        <v>43</v>
      </c>
      <c r="M28">
        <f t="shared" si="1"/>
        <v>0</v>
      </c>
      <c r="N28">
        <f t="shared" si="3"/>
        <v>14100</v>
      </c>
      <c r="O28" s="6">
        <f t="shared" si="2"/>
        <v>0.1</v>
      </c>
      <c r="U28" s="6"/>
    </row>
    <row r="29" spans="1:22" x14ac:dyDescent="0.35">
      <c r="A29">
        <v>1028</v>
      </c>
      <c r="B29">
        <v>45672</v>
      </c>
      <c r="C29" t="s">
        <v>19</v>
      </c>
      <c r="D29" t="s">
        <v>27</v>
      </c>
      <c r="E29" t="s">
        <v>10</v>
      </c>
      <c r="F29" t="s">
        <v>11</v>
      </c>
      <c r="G29">
        <v>1</v>
      </c>
      <c r="H29">
        <v>59000</v>
      </c>
      <c r="I29">
        <f t="shared" si="4"/>
        <v>53100</v>
      </c>
      <c r="J29" s="4">
        <v>8</v>
      </c>
      <c r="K29">
        <f t="shared" si="0"/>
        <v>59000</v>
      </c>
      <c r="L29" t="s">
        <v>43</v>
      </c>
      <c r="M29">
        <f t="shared" si="1"/>
        <v>4720</v>
      </c>
      <c r="N29">
        <f t="shared" si="3"/>
        <v>1180</v>
      </c>
      <c r="O29" s="6">
        <f t="shared" si="2"/>
        <v>0.02</v>
      </c>
      <c r="U29" s="6"/>
    </row>
    <row r="30" spans="1:22" x14ac:dyDescent="0.35">
      <c r="A30">
        <v>1029</v>
      </c>
      <c r="B30">
        <v>45675</v>
      </c>
      <c r="C30" t="s">
        <v>8</v>
      </c>
      <c r="D30" t="s">
        <v>28</v>
      </c>
      <c r="E30" t="s">
        <v>14</v>
      </c>
      <c r="F30" t="s">
        <v>29</v>
      </c>
      <c r="G30">
        <v>1</v>
      </c>
      <c r="H30">
        <v>850</v>
      </c>
      <c r="I30">
        <f t="shared" si="4"/>
        <v>765</v>
      </c>
      <c r="J30" s="4">
        <v>5</v>
      </c>
      <c r="K30">
        <f t="shared" si="0"/>
        <v>850</v>
      </c>
      <c r="L30" t="s">
        <v>43</v>
      </c>
      <c r="M30">
        <f t="shared" si="1"/>
        <v>42.5</v>
      </c>
      <c r="N30">
        <f t="shared" si="3"/>
        <v>42.5</v>
      </c>
      <c r="O30" s="6">
        <f t="shared" si="2"/>
        <v>0.05</v>
      </c>
      <c r="U30" s="6"/>
    </row>
    <row r="31" spans="1:22" x14ac:dyDescent="0.35">
      <c r="A31">
        <v>1030</v>
      </c>
      <c r="B31">
        <v>45677</v>
      </c>
      <c r="C31" t="s">
        <v>12</v>
      </c>
      <c r="D31" t="s">
        <v>17</v>
      </c>
      <c r="E31" t="s">
        <v>21</v>
      </c>
      <c r="F31" t="s">
        <v>30</v>
      </c>
      <c r="G31">
        <v>10</v>
      </c>
      <c r="H31">
        <v>2500</v>
      </c>
      <c r="I31">
        <f t="shared" si="4"/>
        <v>2250</v>
      </c>
      <c r="J31" s="4">
        <v>0</v>
      </c>
      <c r="K31">
        <f t="shared" si="0"/>
        <v>25000</v>
      </c>
      <c r="L31" t="s">
        <v>43</v>
      </c>
      <c r="M31">
        <f t="shared" si="1"/>
        <v>0</v>
      </c>
      <c r="N31">
        <f t="shared" si="3"/>
        <v>2500</v>
      </c>
      <c r="O31" s="6">
        <f t="shared" si="2"/>
        <v>0.1</v>
      </c>
      <c r="U31" s="6"/>
    </row>
    <row r="32" spans="1:22" x14ac:dyDescent="0.35">
      <c r="A32">
        <v>1031</v>
      </c>
      <c r="B32">
        <v>45690</v>
      </c>
      <c r="C32" t="s">
        <v>16</v>
      </c>
      <c r="D32" t="s">
        <v>31</v>
      </c>
      <c r="E32" t="s">
        <v>10</v>
      </c>
      <c r="F32" t="s">
        <v>18</v>
      </c>
      <c r="G32">
        <v>2</v>
      </c>
      <c r="H32">
        <v>12000</v>
      </c>
      <c r="I32">
        <f t="shared" si="4"/>
        <v>10800</v>
      </c>
      <c r="J32" s="4">
        <v>8</v>
      </c>
      <c r="K32">
        <f t="shared" si="0"/>
        <v>24000</v>
      </c>
      <c r="L32" t="s">
        <v>44</v>
      </c>
      <c r="M32">
        <f t="shared" si="1"/>
        <v>1920</v>
      </c>
      <c r="N32">
        <f t="shared" si="3"/>
        <v>480</v>
      </c>
      <c r="O32" s="6">
        <f t="shared" si="2"/>
        <v>0.02</v>
      </c>
      <c r="U32" s="6"/>
    </row>
    <row r="33" spans="1:21" x14ac:dyDescent="0.35">
      <c r="A33">
        <v>1032</v>
      </c>
      <c r="B33">
        <v>45692</v>
      </c>
      <c r="C33" t="s">
        <v>19</v>
      </c>
      <c r="D33" t="s">
        <v>13</v>
      </c>
      <c r="E33" t="s">
        <v>14</v>
      </c>
      <c r="F33" t="s">
        <v>15</v>
      </c>
      <c r="G33">
        <v>3</v>
      </c>
      <c r="H33">
        <v>2000</v>
      </c>
      <c r="I33">
        <f t="shared" si="4"/>
        <v>1800</v>
      </c>
      <c r="J33" s="4">
        <v>0</v>
      </c>
      <c r="K33">
        <f t="shared" si="0"/>
        <v>6000</v>
      </c>
      <c r="L33" t="s">
        <v>44</v>
      </c>
      <c r="M33">
        <f t="shared" si="1"/>
        <v>0</v>
      </c>
      <c r="N33">
        <f t="shared" si="3"/>
        <v>600</v>
      </c>
      <c r="O33" s="6">
        <f t="shared" si="2"/>
        <v>0.1</v>
      </c>
      <c r="U33" s="6"/>
    </row>
    <row r="34" spans="1:21" x14ac:dyDescent="0.35">
      <c r="A34">
        <v>1033</v>
      </c>
      <c r="B34">
        <v>45694</v>
      </c>
      <c r="C34" t="s">
        <v>8</v>
      </c>
      <c r="D34" t="s">
        <v>32</v>
      </c>
      <c r="E34" t="s">
        <v>21</v>
      </c>
      <c r="F34" t="s">
        <v>22</v>
      </c>
      <c r="G34">
        <v>2</v>
      </c>
      <c r="H34">
        <v>3000</v>
      </c>
      <c r="I34">
        <f t="shared" si="4"/>
        <v>2700</v>
      </c>
      <c r="J34" s="4">
        <v>0</v>
      </c>
      <c r="K34">
        <f t="shared" si="0"/>
        <v>6000</v>
      </c>
      <c r="L34" t="s">
        <v>44</v>
      </c>
      <c r="M34">
        <f t="shared" si="1"/>
        <v>0</v>
      </c>
      <c r="N34">
        <f t="shared" si="3"/>
        <v>600</v>
      </c>
      <c r="O34" s="6">
        <f t="shared" si="2"/>
        <v>0.1</v>
      </c>
      <c r="U34" s="6"/>
    </row>
    <row r="35" spans="1:21" x14ac:dyDescent="0.35">
      <c r="A35">
        <v>1034</v>
      </c>
      <c r="B35">
        <v>45696</v>
      </c>
      <c r="C35" t="s">
        <v>12</v>
      </c>
      <c r="D35" t="s">
        <v>20</v>
      </c>
      <c r="E35" t="s">
        <v>10</v>
      </c>
      <c r="F35" t="s">
        <v>11</v>
      </c>
      <c r="G35">
        <v>1</v>
      </c>
      <c r="H35">
        <v>60000</v>
      </c>
      <c r="I35">
        <f t="shared" si="4"/>
        <v>54000</v>
      </c>
      <c r="J35" s="4">
        <v>5</v>
      </c>
      <c r="K35">
        <f t="shared" si="0"/>
        <v>60000</v>
      </c>
      <c r="L35" t="s">
        <v>44</v>
      </c>
      <c r="M35">
        <f t="shared" si="1"/>
        <v>3000</v>
      </c>
      <c r="N35">
        <f t="shared" si="3"/>
        <v>3000</v>
      </c>
      <c r="O35" s="6">
        <f t="shared" si="2"/>
        <v>0.05</v>
      </c>
      <c r="U35" s="6"/>
    </row>
    <row r="36" spans="1:21" x14ac:dyDescent="0.35">
      <c r="A36">
        <v>1035</v>
      </c>
      <c r="B36">
        <v>45698</v>
      </c>
      <c r="C36" t="s">
        <v>16</v>
      </c>
      <c r="D36" t="s">
        <v>33</v>
      </c>
      <c r="E36" t="s">
        <v>14</v>
      </c>
      <c r="F36" t="s">
        <v>23</v>
      </c>
      <c r="G36">
        <v>1</v>
      </c>
      <c r="H36">
        <v>45000</v>
      </c>
      <c r="I36">
        <f t="shared" si="4"/>
        <v>40500</v>
      </c>
      <c r="J36" s="4">
        <v>0</v>
      </c>
      <c r="K36">
        <f t="shared" si="0"/>
        <v>45000</v>
      </c>
      <c r="L36" t="s">
        <v>44</v>
      </c>
      <c r="M36">
        <f t="shared" si="1"/>
        <v>0</v>
      </c>
      <c r="N36">
        <f t="shared" si="3"/>
        <v>4500</v>
      </c>
      <c r="O36" s="6">
        <f t="shared" si="2"/>
        <v>0.1</v>
      </c>
      <c r="U36" s="6"/>
    </row>
    <row r="37" spans="1:21" x14ac:dyDescent="0.35">
      <c r="A37">
        <v>1036</v>
      </c>
      <c r="B37">
        <v>45700</v>
      </c>
      <c r="C37" t="s">
        <v>19</v>
      </c>
      <c r="D37" t="s">
        <v>9</v>
      </c>
      <c r="E37" t="s">
        <v>10</v>
      </c>
      <c r="F37" t="s">
        <v>25</v>
      </c>
      <c r="G37">
        <v>4</v>
      </c>
      <c r="H37">
        <v>800</v>
      </c>
      <c r="I37">
        <f t="shared" si="4"/>
        <v>720</v>
      </c>
      <c r="J37" s="4">
        <v>0</v>
      </c>
      <c r="K37">
        <f t="shared" si="0"/>
        <v>3200</v>
      </c>
      <c r="L37" t="s">
        <v>44</v>
      </c>
      <c r="M37">
        <f t="shared" si="1"/>
        <v>0</v>
      </c>
      <c r="N37">
        <f t="shared" si="3"/>
        <v>320</v>
      </c>
      <c r="O37" s="6">
        <f t="shared" si="2"/>
        <v>0.1</v>
      </c>
    </row>
    <row r="38" spans="1:21" x14ac:dyDescent="0.35">
      <c r="A38">
        <v>1037</v>
      </c>
      <c r="B38">
        <v>45703</v>
      </c>
      <c r="C38" t="s">
        <v>8</v>
      </c>
      <c r="D38" t="s">
        <v>24</v>
      </c>
      <c r="E38" t="s">
        <v>21</v>
      </c>
      <c r="F38" t="s">
        <v>26</v>
      </c>
      <c r="G38">
        <v>2</v>
      </c>
      <c r="H38">
        <v>21000</v>
      </c>
      <c r="I38">
        <f t="shared" si="4"/>
        <v>18900</v>
      </c>
      <c r="J38" s="4">
        <v>5</v>
      </c>
      <c r="K38">
        <f t="shared" si="0"/>
        <v>42000</v>
      </c>
      <c r="L38" t="s">
        <v>44</v>
      </c>
      <c r="M38">
        <f t="shared" si="1"/>
        <v>2100</v>
      </c>
      <c r="N38">
        <f t="shared" si="3"/>
        <v>2100</v>
      </c>
      <c r="O38" s="6">
        <f t="shared" si="2"/>
        <v>0.05</v>
      </c>
    </row>
    <row r="39" spans="1:21" x14ac:dyDescent="0.35">
      <c r="A39">
        <v>1038</v>
      </c>
      <c r="B39">
        <v>45706</v>
      </c>
      <c r="C39" t="s">
        <v>12</v>
      </c>
      <c r="D39" t="s">
        <v>27</v>
      </c>
      <c r="E39" t="s">
        <v>14</v>
      </c>
      <c r="F39" t="s">
        <v>29</v>
      </c>
      <c r="G39">
        <v>1</v>
      </c>
      <c r="H39">
        <v>3500</v>
      </c>
      <c r="I39">
        <f t="shared" si="4"/>
        <v>3150</v>
      </c>
      <c r="J39" s="4">
        <v>7</v>
      </c>
      <c r="K39">
        <f t="shared" si="0"/>
        <v>3500</v>
      </c>
      <c r="L39" t="s">
        <v>44</v>
      </c>
      <c r="M39">
        <f t="shared" si="1"/>
        <v>245.00000000000003</v>
      </c>
      <c r="N39">
        <f t="shared" si="3"/>
        <v>104.99999999999997</v>
      </c>
      <c r="O39" s="6">
        <f t="shared" si="2"/>
        <v>2.9999999999999992E-2</v>
      </c>
    </row>
    <row r="40" spans="1:21" x14ac:dyDescent="0.35">
      <c r="A40">
        <v>1039</v>
      </c>
      <c r="B40">
        <v>45708</v>
      </c>
      <c r="C40" t="s">
        <v>16</v>
      </c>
      <c r="D40" t="s">
        <v>28</v>
      </c>
      <c r="E40" t="s">
        <v>10</v>
      </c>
      <c r="F40" t="s">
        <v>11</v>
      </c>
      <c r="G40">
        <v>1</v>
      </c>
      <c r="H40">
        <v>2600</v>
      </c>
      <c r="I40">
        <f t="shared" si="4"/>
        <v>2340</v>
      </c>
      <c r="J40" s="4">
        <v>0</v>
      </c>
      <c r="K40">
        <f t="shared" si="0"/>
        <v>2600</v>
      </c>
      <c r="L40" t="s">
        <v>44</v>
      </c>
      <c r="M40">
        <f t="shared" si="1"/>
        <v>0</v>
      </c>
      <c r="N40">
        <f t="shared" si="3"/>
        <v>260</v>
      </c>
      <c r="O40" s="6">
        <f t="shared" si="2"/>
        <v>0.1</v>
      </c>
    </row>
    <row r="41" spans="1:21" x14ac:dyDescent="0.35">
      <c r="A41">
        <v>1040</v>
      </c>
      <c r="B41">
        <v>45710</v>
      </c>
      <c r="C41" t="s">
        <v>19</v>
      </c>
      <c r="D41" t="s">
        <v>31</v>
      </c>
      <c r="E41" t="s">
        <v>21</v>
      </c>
      <c r="F41" t="s">
        <v>30</v>
      </c>
      <c r="G41">
        <v>5</v>
      </c>
      <c r="H41">
        <v>58000</v>
      </c>
      <c r="I41">
        <f t="shared" si="4"/>
        <v>52200</v>
      </c>
      <c r="J41" s="4">
        <v>0</v>
      </c>
      <c r="K41">
        <f t="shared" si="0"/>
        <v>290000</v>
      </c>
      <c r="L41" t="s">
        <v>44</v>
      </c>
      <c r="M41">
        <f t="shared" si="1"/>
        <v>0</v>
      </c>
      <c r="N41">
        <f t="shared" si="3"/>
        <v>29000</v>
      </c>
      <c r="O41" s="6">
        <f t="shared" si="2"/>
        <v>0.1</v>
      </c>
    </row>
    <row r="42" spans="1:21" x14ac:dyDescent="0.35">
      <c r="A42">
        <v>1041</v>
      </c>
      <c r="B42">
        <v>45660</v>
      </c>
      <c r="C42" t="s">
        <v>8</v>
      </c>
      <c r="D42" t="s">
        <v>9</v>
      </c>
      <c r="E42" t="s">
        <v>10</v>
      </c>
      <c r="F42" t="s">
        <v>11</v>
      </c>
      <c r="G42">
        <v>2</v>
      </c>
      <c r="H42">
        <v>11000</v>
      </c>
      <c r="I42">
        <f t="shared" si="4"/>
        <v>9900</v>
      </c>
      <c r="J42" s="4">
        <v>0</v>
      </c>
      <c r="K42">
        <f t="shared" si="0"/>
        <v>22000</v>
      </c>
      <c r="L42" t="s">
        <v>43</v>
      </c>
      <c r="M42">
        <f t="shared" si="1"/>
        <v>0</v>
      </c>
      <c r="N42">
        <f t="shared" si="3"/>
        <v>2200</v>
      </c>
      <c r="O42" s="6">
        <f t="shared" si="2"/>
        <v>0.1</v>
      </c>
    </row>
    <row r="43" spans="1:21" x14ac:dyDescent="0.35">
      <c r="A43">
        <v>1042</v>
      </c>
      <c r="B43">
        <v>45662</v>
      </c>
      <c r="C43" t="s">
        <v>12</v>
      </c>
      <c r="D43" t="s">
        <v>13</v>
      </c>
      <c r="E43" t="s">
        <v>14</v>
      </c>
      <c r="F43" t="s">
        <v>15</v>
      </c>
      <c r="G43">
        <v>5</v>
      </c>
      <c r="H43">
        <v>2200</v>
      </c>
      <c r="I43">
        <f t="shared" si="4"/>
        <v>1980</v>
      </c>
      <c r="J43" s="4">
        <v>0</v>
      </c>
      <c r="K43">
        <f t="shared" si="0"/>
        <v>11000</v>
      </c>
      <c r="L43" t="s">
        <v>43</v>
      </c>
      <c r="M43">
        <f t="shared" si="1"/>
        <v>0</v>
      </c>
      <c r="N43">
        <f t="shared" si="3"/>
        <v>1100</v>
      </c>
      <c r="O43" s="6">
        <f t="shared" si="2"/>
        <v>0.1</v>
      </c>
    </row>
    <row r="44" spans="1:21" x14ac:dyDescent="0.35">
      <c r="A44">
        <v>1043</v>
      </c>
      <c r="B44">
        <v>45663</v>
      </c>
      <c r="C44" t="s">
        <v>16</v>
      </c>
      <c r="D44" t="s">
        <v>17</v>
      </c>
      <c r="E44" t="s">
        <v>10</v>
      </c>
      <c r="F44" t="s">
        <v>18</v>
      </c>
      <c r="G44">
        <v>3</v>
      </c>
      <c r="H44">
        <v>55000</v>
      </c>
      <c r="I44">
        <f t="shared" si="4"/>
        <v>49500</v>
      </c>
      <c r="J44" s="4">
        <v>5</v>
      </c>
      <c r="K44">
        <f t="shared" si="0"/>
        <v>165000</v>
      </c>
      <c r="L44" t="s">
        <v>43</v>
      </c>
      <c r="M44">
        <f t="shared" si="1"/>
        <v>8250</v>
      </c>
      <c r="N44">
        <f t="shared" si="3"/>
        <v>8250</v>
      </c>
      <c r="O44" s="6">
        <f t="shared" si="2"/>
        <v>0.05</v>
      </c>
    </row>
    <row r="45" spans="1:21" x14ac:dyDescent="0.35">
      <c r="A45">
        <v>1044</v>
      </c>
      <c r="B45">
        <v>45664</v>
      </c>
      <c r="C45" t="s">
        <v>19</v>
      </c>
      <c r="D45" t="s">
        <v>20</v>
      </c>
      <c r="E45" t="s">
        <v>21</v>
      </c>
      <c r="F45" t="s">
        <v>22</v>
      </c>
      <c r="G45">
        <v>4</v>
      </c>
      <c r="H45">
        <v>3500</v>
      </c>
      <c r="I45">
        <f t="shared" si="4"/>
        <v>3150</v>
      </c>
      <c r="J45" s="4">
        <v>0</v>
      </c>
      <c r="K45">
        <f t="shared" si="0"/>
        <v>14000</v>
      </c>
      <c r="L45" t="s">
        <v>43</v>
      </c>
      <c r="M45">
        <f t="shared" si="1"/>
        <v>0</v>
      </c>
      <c r="N45">
        <f t="shared" si="3"/>
        <v>1400</v>
      </c>
      <c r="O45" s="6">
        <f t="shared" si="2"/>
        <v>0.1</v>
      </c>
    </row>
    <row r="46" spans="1:21" x14ac:dyDescent="0.35">
      <c r="A46">
        <v>1045</v>
      </c>
      <c r="B46">
        <v>45667</v>
      </c>
      <c r="C46" t="s">
        <v>8</v>
      </c>
      <c r="D46" t="s">
        <v>13</v>
      </c>
      <c r="E46" t="s">
        <v>14</v>
      </c>
      <c r="F46" t="s">
        <v>23</v>
      </c>
      <c r="G46">
        <v>2</v>
      </c>
      <c r="H46">
        <v>22000</v>
      </c>
      <c r="I46">
        <f t="shared" si="4"/>
        <v>19800</v>
      </c>
      <c r="J46" s="4">
        <v>0</v>
      </c>
      <c r="K46">
        <f t="shared" si="0"/>
        <v>44000</v>
      </c>
      <c r="L46" t="s">
        <v>43</v>
      </c>
      <c r="M46">
        <f t="shared" si="1"/>
        <v>0</v>
      </c>
      <c r="N46">
        <f t="shared" si="3"/>
        <v>4400</v>
      </c>
      <c r="O46" s="6">
        <f t="shared" si="2"/>
        <v>0.1</v>
      </c>
    </row>
    <row r="47" spans="1:21" x14ac:dyDescent="0.35">
      <c r="A47">
        <v>1046</v>
      </c>
      <c r="B47">
        <v>45668</v>
      </c>
      <c r="C47" t="s">
        <v>12</v>
      </c>
      <c r="D47" t="s">
        <v>24</v>
      </c>
      <c r="E47" t="s">
        <v>10</v>
      </c>
      <c r="F47" t="s">
        <v>25</v>
      </c>
      <c r="G47">
        <v>6</v>
      </c>
      <c r="H47">
        <v>2500</v>
      </c>
      <c r="I47">
        <f t="shared" si="4"/>
        <v>2250</v>
      </c>
      <c r="J47" s="4">
        <v>5</v>
      </c>
      <c r="K47">
        <f t="shared" si="0"/>
        <v>15000</v>
      </c>
      <c r="L47" t="s">
        <v>43</v>
      </c>
      <c r="M47">
        <f t="shared" si="1"/>
        <v>750</v>
      </c>
      <c r="N47">
        <f t="shared" si="3"/>
        <v>750</v>
      </c>
      <c r="O47" s="6">
        <f t="shared" si="2"/>
        <v>0.05</v>
      </c>
    </row>
    <row r="48" spans="1:21" x14ac:dyDescent="0.35">
      <c r="A48">
        <v>1047</v>
      </c>
      <c r="B48">
        <v>45670</v>
      </c>
      <c r="C48" t="s">
        <v>16</v>
      </c>
      <c r="D48" t="s">
        <v>9</v>
      </c>
      <c r="E48" t="s">
        <v>21</v>
      </c>
      <c r="F48" t="s">
        <v>26</v>
      </c>
      <c r="G48">
        <v>3</v>
      </c>
      <c r="H48">
        <v>12000</v>
      </c>
      <c r="I48">
        <f t="shared" si="4"/>
        <v>10800</v>
      </c>
      <c r="J48" s="4">
        <v>8</v>
      </c>
      <c r="K48">
        <f t="shared" si="0"/>
        <v>36000</v>
      </c>
      <c r="L48" t="s">
        <v>43</v>
      </c>
      <c r="M48">
        <f t="shared" si="1"/>
        <v>2880</v>
      </c>
      <c r="N48">
        <f t="shared" si="3"/>
        <v>720</v>
      </c>
      <c r="O48" s="6">
        <f t="shared" si="2"/>
        <v>0.02</v>
      </c>
    </row>
    <row r="49" spans="1:15" x14ac:dyDescent="0.35">
      <c r="A49">
        <v>1048</v>
      </c>
      <c r="B49">
        <v>45672</v>
      </c>
      <c r="C49" t="s">
        <v>19</v>
      </c>
      <c r="D49" t="s">
        <v>27</v>
      </c>
      <c r="E49" t="s">
        <v>10</v>
      </c>
      <c r="F49" t="s">
        <v>11</v>
      </c>
      <c r="G49">
        <v>1</v>
      </c>
      <c r="H49">
        <v>2000</v>
      </c>
      <c r="I49">
        <f t="shared" si="4"/>
        <v>1800</v>
      </c>
      <c r="J49" s="4">
        <v>0</v>
      </c>
      <c r="K49">
        <f t="shared" si="0"/>
        <v>2000</v>
      </c>
      <c r="L49" t="s">
        <v>43</v>
      </c>
      <c r="M49">
        <f t="shared" si="1"/>
        <v>0</v>
      </c>
      <c r="N49">
        <f t="shared" si="3"/>
        <v>200</v>
      </c>
      <c r="O49" s="6">
        <f t="shared" si="2"/>
        <v>0.1</v>
      </c>
    </row>
    <row r="50" spans="1:15" x14ac:dyDescent="0.35">
      <c r="A50">
        <v>1049</v>
      </c>
      <c r="B50">
        <v>45675</v>
      </c>
      <c r="C50" t="s">
        <v>8</v>
      </c>
      <c r="D50" t="s">
        <v>28</v>
      </c>
      <c r="E50" t="s">
        <v>14</v>
      </c>
      <c r="F50" t="s">
        <v>29</v>
      </c>
      <c r="G50">
        <v>1</v>
      </c>
      <c r="H50">
        <v>3000</v>
      </c>
      <c r="I50">
        <f t="shared" si="4"/>
        <v>2700</v>
      </c>
      <c r="J50" s="4">
        <v>0</v>
      </c>
      <c r="K50">
        <f t="shared" si="0"/>
        <v>3000</v>
      </c>
      <c r="L50" t="s">
        <v>43</v>
      </c>
      <c r="M50">
        <f t="shared" si="1"/>
        <v>0</v>
      </c>
      <c r="N50">
        <f t="shared" si="3"/>
        <v>300</v>
      </c>
      <c r="O50" s="6">
        <f t="shared" si="2"/>
        <v>0.1</v>
      </c>
    </row>
    <row r="51" spans="1:15" x14ac:dyDescent="0.35">
      <c r="A51">
        <v>1050</v>
      </c>
      <c r="B51">
        <v>45677</v>
      </c>
      <c r="C51" t="s">
        <v>12</v>
      </c>
      <c r="D51" t="s">
        <v>17</v>
      </c>
      <c r="E51" t="s">
        <v>21</v>
      </c>
      <c r="F51" t="s">
        <v>30</v>
      </c>
      <c r="G51">
        <v>10</v>
      </c>
      <c r="H51">
        <v>60000</v>
      </c>
      <c r="I51">
        <f t="shared" si="4"/>
        <v>54000</v>
      </c>
      <c r="J51" s="4">
        <v>5</v>
      </c>
      <c r="K51">
        <f t="shared" si="0"/>
        <v>600000</v>
      </c>
      <c r="L51" t="s">
        <v>43</v>
      </c>
      <c r="M51">
        <f t="shared" si="1"/>
        <v>30000</v>
      </c>
      <c r="N51">
        <f t="shared" si="3"/>
        <v>30000</v>
      </c>
      <c r="O51" s="6">
        <f t="shared" si="2"/>
        <v>0.05</v>
      </c>
    </row>
    <row r="52" spans="1:15" x14ac:dyDescent="0.35">
      <c r="A52">
        <v>1051</v>
      </c>
      <c r="B52">
        <v>45690</v>
      </c>
      <c r="C52" t="s">
        <v>16</v>
      </c>
      <c r="D52" t="s">
        <v>31</v>
      </c>
      <c r="E52" t="s">
        <v>10</v>
      </c>
      <c r="F52" t="s">
        <v>18</v>
      </c>
      <c r="G52">
        <v>2</v>
      </c>
      <c r="H52">
        <v>45000</v>
      </c>
      <c r="I52">
        <f t="shared" si="4"/>
        <v>40500</v>
      </c>
      <c r="J52" s="4">
        <v>0</v>
      </c>
      <c r="K52">
        <f t="shared" si="0"/>
        <v>90000</v>
      </c>
      <c r="L52" t="s">
        <v>44</v>
      </c>
      <c r="M52">
        <f t="shared" si="1"/>
        <v>0</v>
      </c>
      <c r="N52">
        <f t="shared" si="3"/>
        <v>9000</v>
      </c>
      <c r="O52" s="6">
        <f t="shared" si="2"/>
        <v>0.1</v>
      </c>
    </row>
    <row r="53" spans="1:15" x14ac:dyDescent="0.35">
      <c r="A53">
        <v>1052</v>
      </c>
      <c r="B53">
        <v>45692</v>
      </c>
      <c r="C53" t="s">
        <v>19</v>
      </c>
      <c r="D53" t="s">
        <v>13</v>
      </c>
      <c r="E53" t="s">
        <v>14</v>
      </c>
      <c r="F53" t="s">
        <v>15</v>
      </c>
      <c r="G53">
        <v>3</v>
      </c>
      <c r="H53">
        <v>800</v>
      </c>
      <c r="I53">
        <f t="shared" si="4"/>
        <v>720</v>
      </c>
      <c r="J53" s="4">
        <v>10</v>
      </c>
      <c r="K53">
        <f t="shared" si="0"/>
        <v>2400</v>
      </c>
      <c r="L53" t="s">
        <v>44</v>
      </c>
      <c r="M53">
        <f t="shared" si="1"/>
        <v>240</v>
      </c>
      <c r="N53">
        <f t="shared" si="3"/>
        <v>0</v>
      </c>
      <c r="O53" s="6">
        <f t="shared" si="2"/>
        <v>0</v>
      </c>
    </row>
    <row r="54" spans="1:15" x14ac:dyDescent="0.35">
      <c r="A54">
        <v>1053</v>
      </c>
      <c r="B54">
        <v>45694</v>
      </c>
      <c r="C54" t="s">
        <v>8</v>
      </c>
      <c r="D54" t="s">
        <v>32</v>
      </c>
      <c r="E54" t="s">
        <v>21</v>
      </c>
      <c r="F54" t="s">
        <v>22</v>
      </c>
      <c r="G54">
        <v>2</v>
      </c>
      <c r="H54">
        <v>21000</v>
      </c>
      <c r="I54">
        <f t="shared" si="4"/>
        <v>18900</v>
      </c>
      <c r="J54" s="4">
        <v>0</v>
      </c>
      <c r="K54">
        <f t="shared" si="0"/>
        <v>42000</v>
      </c>
      <c r="L54" t="s">
        <v>44</v>
      </c>
      <c r="M54">
        <f t="shared" si="1"/>
        <v>0</v>
      </c>
      <c r="N54">
        <f t="shared" si="3"/>
        <v>4200</v>
      </c>
      <c r="O54" s="6">
        <f t="shared" si="2"/>
        <v>0.1</v>
      </c>
    </row>
    <row r="55" spans="1:15" x14ac:dyDescent="0.35">
      <c r="A55">
        <v>1054</v>
      </c>
      <c r="B55">
        <v>45696</v>
      </c>
      <c r="C55" t="s">
        <v>12</v>
      </c>
      <c r="D55" t="s">
        <v>20</v>
      </c>
      <c r="E55" t="s">
        <v>10</v>
      </c>
      <c r="F55" t="s">
        <v>11</v>
      </c>
      <c r="G55">
        <v>1</v>
      </c>
      <c r="H55">
        <v>3500</v>
      </c>
      <c r="I55">
        <f t="shared" si="4"/>
        <v>3150</v>
      </c>
      <c r="J55" s="4">
        <v>5</v>
      </c>
      <c r="K55">
        <f t="shared" si="0"/>
        <v>3500</v>
      </c>
      <c r="L55" t="s">
        <v>44</v>
      </c>
      <c r="M55">
        <f t="shared" si="1"/>
        <v>175</v>
      </c>
      <c r="N55">
        <f t="shared" si="3"/>
        <v>175</v>
      </c>
      <c r="O55" s="6">
        <f t="shared" si="2"/>
        <v>0.05</v>
      </c>
    </row>
    <row r="56" spans="1:15" x14ac:dyDescent="0.35">
      <c r="A56">
        <v>1055</v>
      </c>
      <c r="B56">
        <v>45698</v>
      </c>
      <c r="C56" t="s">
        <v>16</v>
      </c>
      <c r="D56" t="s">
        <v>33</v>
      </c>
      <c r="E56" t="s">
        <v>14</v>
      </c>
      <c r="F56" t="s">
        <v>23</v>
      </c>
      <c r="G56">
        <v>1</v>
      </c>
      <c r="H56">
        <v>2600</v>
      </c>
      <c r="I56">
        <f t="shared" si="4"/>
        <v>2340</v>
      </c>
      <c r="J56" s="4">
        <v>0</v>
      </c>
      <c r="K56">
        <f t="shared" si="0"/>
        <v>2600</v>
      </c>
      <c r="L56" t="s">
        <v>44</v>
      </c>
      <c r="M56">
        <f t="shared" si="1"/>
        <v>0</v>
      </c>
      <c r="N56">
        <f t="shared" si="3"/>
        <v>260</v>
      </c>
      <c r="O56" s="6">
        <f t="shared" si="2"/>
        <v>0.1</v>
      </c>
    </row>
    <row r="57" spans="1:15" x14ac:dyDescent="0.35">
      <c r="A57">
        <v>1056</v>
      </c>
      <c r="B57">
        <v>45700</v>
      </c>
      <c r="C57" t="s">
        <v>19</v>
      </c>
      <c r="D57" t="s">
        <v>9</v>
      </c>
      <c r="E57" t="s">
        <v>10</v>
      </c>
      <c r="F57" t="s">
        <v>25</v>
      </c>
      <c r="G57">
        <v>4</v>
      </c>
      <c r="H57">
        <v>58000</v>
      </c>
      <c r="I57">
        <f t="shared" si="4"/>
        <v>52200</v>
      </c>
      <c r="J57" s="4">
        <v>0</v>
      </c>
      <c r="K57">
        <f t="shared" si="0"/>
        <v>232000</v>
      </c>
      <c r="L57" t="s">
        <v>44</v>
      </c>
      <c r="M57">
        <f t="shared" si="1"/>
        <v>0</v>
      </c>
      <c r="N57">
        <f t="shared" si="3"/>
        <v>23200</v>
      </c>
      <c r="O57" s="6">
        <f t="shared" si="2"/>
        <v>0.1</v>
      </c>
    </row>
    <row r="58" spans="1:15" x14ac:dyDescent="0.35">
      <c r="A58">
        <v>1057</v>
      </c>
      <c r="B58">
        <v>45703</v>
      </c>
      <c r="C58" t="s">
        <v>8</v>
      </c>
      <c r="D58" t="s">
        <v>24</v>
      </c>
      <c r="E58" t="s">
        <v>21</v>
      </c>
      <c r="F58" t="s">
        <v>26</v>
      </c>
      <c r="G58">
        <v>2</v>
      </c>
      <c r="H58">
        <v>11000</v>
      </c>
      <c r="I58">
        <f t="shared" si="4"/>
        <v>9900</v>
      </c>
      <c r="J58" s="4">
        <v>9</v>
      </c>
      <c r="K58">
        <f t="shared" si="0"/>
        <v>22000</v>
      </c>
      <c r="L58" t="s">
        <v>44</v>
      </c>
      <c r="M58">
        <f t="shared" si="1"/>
        <v>1980</v>
      </c>
      <c r="N58">
        <f t="shared" si="3"/>
        <v>220</v>
      </c>
      <c r="O58" s="6">
        <f t="shared" si="2"/>
        <v>0.01</v>
      </c>
    </row>
    <row r="59" spans="1:15" x14ac:dyDescent="0.35">
      <c r="A59">
        <v>1058</v>
      </c>
      <c r="B59">
        <v>45706</v>
      </c>
      <c r="C59" t="s">
        <v>12</v>
      </c>
      <c r="D59" t="s">
        <v>27</v>
      </c>
      <c r="E59" t="s">
        <v>14</v>
      </c>
      <c r="F59" t="s">
        <v>29</v>
      </c>
      <c r="G59">
        <v>1</v>
      </c>
      <c r="H59">
        <v>2200</v>
      </c>
      <c r="I59">
        <f t="shared" si="4"/>
        <v>1980</v>
      </c>
      <c r="J59" s="4">
        <v>5</v>
      </c>
      <c r="K59">
        <f t="shared" si="0"/>
        <v>2200</v>
      </c>
      <c r="L59" t="s">
        <v>44</v>
      </c>
      <c r="M59">
        <f t="shared" si="1"/>
        <v>110</v>
      </c>
      <c r="N59">
        <f t="shared" si="3"/>
        <v>110</v>
      </c>
      <c r="O59" s="6">
        <f t="shared" si="2"/>
        <v>0.05</v>
      </c>
    </row>
    <row r="60" spans="1:15" x14ac:dyDescent="0.35">
      <c r="A60">
        <v>1059</v>
      </c>
      <c r="B60">
        <v>45708</v>
      </c>
      <c r="C60" t="s">
        <v>16</v>
      </c>
      <c r="D60" t="s">
        <v>28</v>
      </c>
      <c r="E60" t="s">
        <v>10</v>
      </c>
      <c r="F60" t="s">
        <v>11</v>
      </c>
      <c r="G60">
        <v>1</v>
      </c>
      <c r="H60">
        <v>3200</v>
      </c>
      <c r="I60">
        <f t="shared" si="4"/>
        <v>2880</v>
      </c>
      <c r="J60" s="4">
        <v>0</v>
      </c>
      <c r="K60">
        <f t="shared" si="0"/>
        <v>3200</v>
      </c>
      <c r="L60" t="s">
        <v>44</v>
      </c>
      <c r="M60">
        <f t="shared" si="1"/>
        <v>0</v>
      </c>
      <c r="N60">
        <f t="shared" si="3"/>
        <v>320</v>
      </c>
      <c r="O60" s="6">
        <f t="shared" si="2"/>
        <v>0.1</v>
      </c>
    </row>
    <row r="61" spans="1:15" x14ac:dyDescent="0.35">
      <c r="A61">
        <v>1060</v>
      </c>
      <c r="B61">
        <v>45710</v>
      </c>
      <c r="C61" t="s">
        <v>19</v>
      </c>
      <c r="D61" t="s">
        <v>31</v>
      </c>
      <c r="E61" t="s">
        <v>21</v>
      </c>
      <c r="F61" t="s">
        <v>30</v>
      </c>
      <c r="G61">
        <v>5</v>
      </c>
      <c r="H61">
        <v>47000</v>
      </c>
      <c r="I61">
        <f t="shared" si="4"/>
        <v>42300</v>
      </c>
      <c r="J61" s="4">
        <v>9</v>
      </c>
      <c r="K61">
        <f t="shared" si="0"/>
        <v>235000</v>
      </c>
      <c r="L61" t="s">
        <v>44</v>
      </c>
      <c r="M61">
        <f t="shared" si="1"/>
        <v>21150</v>
      </c>
      <c r="N61">
        <f t="shared" si="3"/>
        <v>2350</v>
      </c>
      <c r="O61" s="6">
        <f t="shared" si="2"/>
        <v>0.01</v>
      </c>
    </row>
    <row r="62" spans="1:15" x14ac:dyDescent="0.35">
      <c r="A62">
        <v>1061</v>
      </c>
      <c r="B62">
        <v>45660</v>
      </c>
      <c r="C62" t="s">
        <v>8</v>
      </c>
      <c r="D62" t="s">
        <v>9</v>
      </c>
      <c r="E62" t="s">
        <v>10</v>
      </c>
      <c r="F62" t="s">
        <v>11</v>
      </c>
      <c r="G62">
        <v>2</v>
      </c>
      <c r="H62">
        <v>59000</v>
      </c>
      <c r="I62">
        <f t="shared" si="4"/>
        <v>53100</v>
      </c>
      <c r="J62" s="4">
        <v>0</v>
      </c>
      <c r="K62">
        <f t="shared" si="0"/>
        <v>118000</v>
      </c>
      <c r="L62" t="s">
        <v>43</v>
      </c>
      <c r="M62">
        <f t="shared" si="1"/>
        <v>0</v>
      </c>
      <c r="N62">
        <f t="shared" si="3"/>
        <v>11800</v>
      </c>
      <c r="O62" s="6">
        <f t="shared" si="2"/>
        <v>0.1</v>
      </c>
    </row>
    <row r="63" spans="1:15" x14ac:dyDescent="0.35">
      <c r="A63">
        <v>1062</v>
      </c>
      <c r="B63">
        <v>45662</v>
      </c>
      <c r="C63" t="s">
        <v>12</v>
      </c>
      <c r="D63" t="s">
        <v>13</v>
      </c>
      <c r="E63" t="s">
        <v>14</v>
      </c>
      <c r="F63" t="s">
        <v>15</v>
      </c>
      <c r="G63">
        <v>5</v>
      </c>
      <c r="H63">
        <v>850</v>
      </c>
      <c r="I63">
        <f t="shared" si="4"/>
        <v>765</v>
      </c>
      <c r="J63" s="4">
        <v>0</v>
      </c>
      <c r="K63">
        <f t="shared" si="0"/>
        <v>4250</v>
      </c>
      <c r="L63" t="s">
        <v>43</v>
      </c>
      <c r="M63">
        <f t="shared" si="1"/>
        <v>0</v>
      </c>
      <c r="N63">
        <f t="shared" si="3"/>
        <v>425</v>
      </c>
      <c r="O63" s="6">
        <f t="shared" si="2"/>
        <v>0.1</v>
      </c>
    </row>
    <row r="64" spans="1:15" x14ac:dyDescent="0.35">
      <c r="A64">
        <v>1063</v>
      </c>
      <c r="B64">
        <v>45663</v>
      </c>
      <c r="C64" t="s">
        <v>16</v>
      </c>
      <c r="D64" t="s">
        <v>17</v>
      </c>
      <c r="E64" t="s">
        <v>10</v>
      </c>
      <c r="F64" t="s">
        <v>18</v>
      </c>
      <c r="G64">
        <v>3</v>
      </c>
      <c r="H64">
        <v>3500</v>
      </c>
      <c r="I64">
        <f t="shared" si="4"/>
        <v>3150</v>
      </c>
      <c r="J64" s="4">
        <v>5</v>
      </c>
      <c r="K64">
        <f t="shared" si="0"/>
        <v>10500</v>
      </c>
      <c r="L64" t="s">
        <v>43</v>
      </c>
      <c r="M64">
        <f t="shared" si="1"/>
        <v>525</v>
      </c>
      <c r="N64">
        <f t="shared" si="3"/>
        <v>525</v>
      </c>
      <c r="O64" s="6">
        <f t="shared" si="2"/>
        <v>0.05</v>
      </c>
    </row>
    <row r="65" spans="1:15" x14ac:dyDescent="0.35">
      <c r="A65">
        <v>1064</v>
      </c>
      <c r="B65">
        <v>45664</v>
      </c>
      <c r="C65" t="s">
        <v>19</v>
      </c>
      <c r="D65" t="s">
        <v>20</v>
      </c>
      <c r="E65" t="s">
        <v>21</v>
      </c>
      <c r="F65" t="s">
        <v>22</v>
      </c>
      <c r="G65">
        <v>4</v>
      </c>
      <c r="H65">
        <v>2600</v>
      </c>
      <c r="I65">
        <f t="shared" si="4"/>
        <v>2340</v>
      </c>
      <c r="J65" s="4">
        <v>0</v>
      </c>
      <c r="K65">
        <f t="shared" si="0"/>
        <v>10400</v>
      </c>
      <c r="L65" t="s">
        <v>43</v>
      </c>
      <c r="M65">
        <f t="shared" si="1"/>
        <v>0</v>
      </c>
      <c r="N65">
        <f t="shared" si="3"/>
        <v>1040</v>
      </c>
      <c r="O65" s="6">
        <f t="shared" si="2"/>
        <v>0.1</v>
      </c>
    </row>
    <row r="66" spans="1:15" x14ac:dyDescent="0.35">
      <c r="A66">
        <v>1065</v>
      </c>
      <c r="B66">
        <v>45667</v>
      </c>
      <c r="C66" t="s">
        <v>8</v>
      </c>
      <c r="D66" t="s">
        <v>13</v>
      </c>
      <c r="E66" t="s">
        <v>14</v>
      </c>
      <c r="F66" t="s">
        <v>23</v>
      </c>
      <c r="G66">
        <v>2</v>
      </c>
      <c r="H66">
        <v>58000</v>
      </c>
      <c r="I66">
        <f t="shared" si="4"/>
        <v>52200</v>
      </c>
      <c r="J66" s="4">
        <v>0</v>
      </c>
      <c r="K66">
        <f t="shared" si="0"/>
        <v>116000</v>
      </c>
      <c r="L66" t="s">
        <v>43</v>
      </c>
      <c r="M66">
        <f t="shared" si="1"/>
        <v>0</v>
      </c>
      <c r="N66">
        <f t="shared" si="3"/>
        <v>11600</v>
      </c>
      <c r="O66" s="6">
        <f t="shared" si="2"/>
        <v>0.1</v>
      </c>
    </row>
    <row r="67" spans="1:15" x14ac:dyDescent="0.35">
      <c r="A67">
        <v>1066</v>
      </c>
      <c r="B67">
        <v>45668</v>
      </c>
      <c r="C67" t="s">
        <v>12</v>
      </c>
      <c r="D67" t="s">
        <v>24</v>
      </c>
      <c r="E67" t="s">
        <v>10</v>
      </c>
      <c r="F67" t="s">
        <v>25</v>
      </c>
      <c r="G67">
        <v>6</v>
      </c>
      <c r="H67">
        <v>11000</v>
      </c>
      <c r="I67">
        <f t="shared" si="4"/>
        <v>9900</v>
      </c>
      <c r="J67" s="4">
        <v>5</v>
      </c>
      <c r="K67">
        <f t="shared" ref="K67:K130" si="5">H67*G67</f>
        <v>66000</v>
      </c>
      <c r="L67" t="s">
        <v>43</v>
      </c>
      <c r="M67">
        <f t="shared" ref="M67:M130" si="6">K67*(J67)%</f>
        <v>3300</v>
      </c>
      <c r="N67">
        <f t="shared" ref="N67:N130" si="7">K67-(I67*G67)-M67</f>
        <v>3300</v>
      </c>
      <c r="O67" s="6">
        <f t="shared" ref="O67:O130" si="8">N67/K67</f>
        <v>0.05</v>
      </c>
    </row>
    <row r="68" spans="1:15" x14ac:dyDescent="0.35">
      <c r="A68">
        <v>1067</v>
      </c>
      <c r="B68">
        <v>45670</v>
      </c>
      <c r="C68" t="s">
        <v>16</v>
      </c>
      <c r="D68" t="s">
        <v>9</v>
      </c>
      <c r="E68" t="s">
        <v>21</v>
      </c>
      <c r="F68" t="s">
        <v>26</v>
      </c>
      <c r="G68">
        <v>3</v>
      </c>
      <c r="H68">
        <v>2200</v>
      </c>
      <c r="I68">
        <f t="shared" si="4"/>
        <v>1980</v>
      </c>
      <c r="J68" s="4">
        <v>10</v>
      </c>
      <c r="K68">
        <f t="shared" si="5"/>
        <v>6600</v>
      </c>
      <c r="L68" t="s">
        <v>43</v>
      </c>
      <c r="M68">
        <f t="shared" si="6"/>
        <v>660</v>
      </c>
      <c r="N68">
        <f t="shared" si="7"/>
        <v>0</v>
      </c>
      <c r="O68" s="6">
        <f t="shared" si="8"/>
        <v>0</v>
      </c>
    </row>
    <row r="69" spans="1:15" x14ac:dyDescent="0.35">
      <c r="A69">
        <v>1068</v>
      </c>
      <c r="B69">
        <v>45672</v>
      </c>
      <c r="C69" t="s">
        <v>19</v>
      </c>
      <c r="D69" t="s">
        <v>27</v>
      </c>
      <c r="E69" t="s">
        <v>10</v>
      </c>
      <c r="F69" t="s">
        <v>11</v>
      </c>
      <c r="G69">
        <v>1</v>
      </c>
      <c r="H69">
        <v>3200</v>
      </c>
      <c r="I69">
        <f t="shared" si="4"/>
        <v>2880</v>
      </c>
      <c r="J69" s="4">
        <v>0</v>
      </c>
      <c r="K69">
        <f t="shared" si="5"/>
        <v>3200</v>
      </c>
      <c r="L69" t="s">
        <v>43</v>
      </c>
      <c r="M69">
        <f t="shared" si="6"/>
        <v>0</v>
      </c>
      <c r="N69">
        <f t="shared" si="7"/>
        <v>320</v>
      </c>
      <c r="O69" s="6">
        <f t="shared" si="8"/>
        <v>0.1</v>
      </c>
    </row>
    <row r="70" spans="1:15" x14ac:dyDescent="0.35">
      <c r="A70">
        <v>1069</v>
      </c>
      <c r="B70">
        <v>45675</v>
      </c>
      <c r="C70" t="s">
        <v>8</v>
      </c>
      <c r="D70" t="s">
        <v>28</v>
      </c>
      <c r="E70" t="s">
        <v>14</v>
      </c>
      <c r="F70" t="s">
        <v>29</v>
      </c>
      <c r="G70">
        <v>1</v>
      </c>
      <c r="H70">
        <v>47000</v>
      </c>
      <c r="I70">
        <f t="shared" si="4"/>
        <v>42300</v>
      </c>
      <c r="J70" s="4">
        <v>0</v>
      </c>
      <c r="K70">
        <f t="shared" si="5"/>
        <v>47000</v>
      </c>
      <c r="L70" t="s">
        <v>43</v>
      </c>
      <c r="M70">
        <f t="shared" si="6"/>
        <v>0</v>
      </c>
      <c r="N70">
        <f t="shared" si="7"/>
        <v>4700</v>
      </c>
      <c r="O70" s="6">
        <f t="shared" si="8"/>
        <v>0.1</v>
      </c>
    </row>
    <row r="71" spans="1:15" x14ac:dyDescent="0.35">
      <c r="A71">
        <v>1070</v>
      </c>
      <c r="B71">
        <v>45677</v>
      </c>
      <c r="C71" t="s">
        <v>12</v>
      </c>
      <c r="D71" t="s">
        <v>17</v>
      </c>
      <c r="E71" t="s">
        <v>21</v>
      </c>
      <c r="F71" t="s">
        <v>30</v>
      </c>
      <c r="G71">
        <v>10</v>
      </c>
      <c r="H71">
        <v>59000</v>
      </c>
      <c r="I71">
        <f t="shared" si="4"/>
        <v>53100</v>
      </c>
      <c r="J71" s="4">
        <v>5</v>
      </c>
      <c r="K71">
        <f t="shared" si="5"/>
        <v>590000</v>
      </c>
      <c r="L71" t="s">
        <v>43</v>
      </c>
      <c r="M71">
        <f t="shared" si="6"/>
        <v>29500</v>
      </c>
      <c r="N71">
        <f t="shared" si="7"/>
        <v>29500</v>
      </c>
      <c r="O71" s="6">
        <f t="shared" si="8"/>
        <v>0.05</v>
      </c>
    </row>
    <row r="72" spans="1:15" x14ac:dyDescent="0.35">
      <c r="A72">
        <v>1071</v>
      </c>
      <c r="B72">
        <v>45690</v>
      </c>
      <c r="C72" t="s">
        <v>16</v>
      </c>
      <c r="D72" t="s">
        <v>31</v>
      </c>
      <c r="E72" t="s">
        <v>10</v>
      </c>
      <c r="F72" t="s">
        <v>18</v>
      </c>
      <c r="G72">
        <v>2</v>
      </c>
      <c r="H72">
        <v>850</v>
      </c>
      <c r="I72">
        <f t="shared" si="4"/>
        <v>765</v>
      </c>
      <c r="J72" s="4">
        <v>0</v>
      </c>
      <c r="K72">
        <f t="shared" si="5"/>
        <v>1700</v>
      </c>
      <c r="L72" t="s">
        <v>44</v>
      </c>
      <c r="M72">
        <f t="shared" si="6"/>
        <v>0</v>
      </c>
      <c r="N72">
        <f t="shared" si="7"/>
        <v>170</v>
      </c>
      <c r="O72" s="6">
        <f t="shared" si="8"/>
        <v>0.1</v>
      </c>
    </row>
    <row r="73" spans="1:15" x14ac:dyDescent="0.35">
      <c r="A73">
        <v>1072</v>
      </c>
      <c r="B73">
        <v>45692</v>
      </c>
      <c r="C73" t="s">
        <v>19</v>
      </c>
      <c r="D73" t="s">
        <v>13</v>
      </c>
      <c r="E73" t="s">
        <v>14</v>
      </c>
      <c r="F73" t="s">
        <v>15</v>
      </c>
      <c r="G73">
        <v>3</v>
      </c>
      <c r="H73">
        <v>2500</v>
      </c>
      <c r="I73">
        <f>H73*89%</f>
        <v>2225</v>
      </c>
      <c r="J73" s="4">
        <v>10</v>
      </c>
      <c r="K73">
        <f t="shared" si="5"/>
        <v>7500</v>
      </c>
      <c r="L73" t="s">
        <v>44</v>
      </c>
      <c r="M73">
        <f t="shared" si="6"/>
        <v>750</v>
      </c>
      <c r="N73">
        <f t="shared" si="7"/>
        <v>75</v>
      </c>
      <c r="O73" s="6">
        <f t="shared" si="8"/>
        <v>0.01</v>
      </c>
    </row>
    <row r="74" spans="1:15" x14ac:dyDescent="0.35">
      <c r="A74">
        <v>1073</v>
      </c>
      <c r="B74">
        <v>45694</v>
      </c>
      <c r="C74" t="s">
        <v>8</v>
      </c>
      <c r="D74" t="s">
        <v>32</v>
      </c>
      <c r="E74" t="s">
        <v>21</v>
      </c>
      <c r="F74" t="s">
        <v>22</v>
      </c>
      <c r="G74">
        <v>2</v>
      </c>
      <c r="H74">
        <v>12000</v>
      </c>
      <c r="I74">
        <f t="shared" si="4"/>
        <v>10800</v>
      </c>
      <c r="J74" s="4">
        <v>0</v>
      </c>
      <c r="K74">
        <f t="shared" si="5"/>
        <v>24000</v>
      </c>
      <c r="L74" t="s">
        <v>44</v>
      </c>
      <c r="M74">
        <f t="shared" si="6"/>
        <v>0</v>
      </c>
      <c r="N74">
        <f t="shared" si="7"/>
        <v>2400</v>
      </c>
      <c r="O74" s="6">
        <f t="shared" si="8"/>
        <v>0.1</v>
      </c>
    </row>
    <row r="75" spans="1:15" x14ac:dyDescent="0.35">
      <c r="A75">
        <v>1074</v>
      </c>
      <c r="B75">
        <v>45696</v>
      </c>
      <c r="C75" t="s">
        <v>12</v>
      </c>
      <c r="D75" t="s">
        <v>20</v>
      </c>
      <c r="E75" t="s">
        <v>10</v>
      </c>
      <c r="F75" t="s">
        <v>11</v>
      </c>
      <c r="G75">
        <v>1</v>
      </c>
      <c r="H75">
        <v>2000</v>
      </c>
      <c r="I75">
        <f t="shared" si="4"/>
        <v>1800</v>
      </c>
      <c r="J75" s="4">
        <v>5</v>
      </c>
      <c r="K75">
        <f t="shared" si="5"/>
        <v>2000</v>
      </c>
      <c r="L75" t="s">
        <v>44</v>
      </c>
      <c r="M75">
        <f t="shared" si="6"/>
        <v>100</v>
      </c>
      <c r="N75">
        <f t="shared" si="7"/>
        <v>100</v>
      </c>
      <c r="O75" s="6">
        <f t="shared" si="8"/>
        <v>0.05</v>
      </c>
    </row>
    <row r="76" spans="1:15" x14ac:dyDescent="0.35">
      <c r="A76">
        <v>1075</v>
      </c>
      <c r="B76">
        <v>45698</v>
      </c>
      <c r="C76" t="s">
        <v>16</v>
      </c>
      <c r="D76" t="s">
        <v>33</v>
      </c>
      <c r="E76" t="s">
        <v>14</v>
      </c>
      <c r="F76" t="s">
        <v>23</v>
      </c>
      <c r="G76">
        <v>1</v>
      </c>
      <c r="H76">
        <v>3000</v>
      </c>
      <c r="I76">
        <f t="shared" si="4"/>
        <v>2700</v>
      </c>
      <c r="J76" s="4">
        <v>0</v>
      </c>
      <c r="K76">
        <f t="shared" si="5"/>
        <v>3000</v>
      </c>
      <c r="L76" t="s">
        <v>44</v>
      </c>
      <c r="M76">
        <f t="shared" si="6"/>
        <v>0</v>
      </c>
      <c r="N76">
        <f t="shared" si="7"/>
        <v>300</v>
      </c>
      <c r="O76" s="6">
        <f t="shared" si="8"/>
        <v>0.1</v>
      </c>
    </row>
    <row r="77" spans="1:15" x14ac:dyDescent="0.35">
      <c r="A77">
        <v>1076</v>
      </c>
      <c r="B77">
        <v>45700</v>
      </c>
      <c r="C77" t="s">
        <v>19</v>
      </c>
      <c r="D77" t="s">
        <v>9</v>
      </c>
      <c r="E77" t="s">
        <v>10</v>
      </c>
      <c r="F77" t="s">
        <v>25</v>
      </c>
      <c r="G77">
        <v>4</v>
      </c>
      <c r="H77">
        <v>60000</v>
      </c>
      <c r="I77">
        <f t="shared" si="4"/>
        <v>54000</v>
      </c>
      <c r="J77" s="4">
        <v>0</v>
      </c>
      <c r="K77">
        <f t="shared" si="5"/>
        <v>240000</v>
      </c>
      <c r="L77" t="s">
        <v>44</v>
      </c>
      <c r="M77">
        <f t="shared" si="6"/>
        <v>0</v>
      </c>
      <c r="N77">
        <f t="shared" si="7"/>
        <v>24000</v>
      </c>
      <c r="O77" s="6">
        <f t="shared" si="8"/>
        <v>0.1</v>
      </c>
    </row>
    <row r="78" spans="1:15" x14ac:dyDescent="0.35">
      <c r="A78">
        <v>1077</v>
      </c>
      <c r="B78">
        <v>45703</v>
      </c>
      <c r="C78" t="s">
        <v>8</v>
      </c>
      <c r="D78" t="s">
        <v>24</v>
      </c>
      <c r="E78" t="s">
        <v>21</v>
      </c>
      <c r="F78" t="s">
        <v>26</v>
      </c>
      <c r="G78">
        <v>2</v>
      </c>
      <c r="H78">
        <v>45500</v>
      </c>
      <c r="I78">
        <f t="shared" si="4"/>
        <v>40950</v>
      </c>
      <c r="J78" s="4">
        <v>7</v>
      </c>
      <c r="K78">
        <f t="shared" si="5"/>
        <v>91000</v>
      </c>
      <c r="L78" t="s">
        <v>44</v>
      </c>
      <c r="M78">
        <f t="shared" si="6"/>
        <v>6370.0000000000009</v>
      </c>
      <c r="N78">
        <f t="shared" si="7"/>
        <v>2729.9999999999991</v>
      </c>
      <c r="O78" s="6">
        <f t="shared" si="8"/>
        <v>2.9999999999999988E-2</v>
      </c>
    </row>
    <row r="79" spans="1:15" x14ac:dyDescent="0.35">
      <c r="A79">
        <v>1078</v>
      </c>
      <c r="B79">
        <v>45706</v>
      </c>
      <c r="C79" t="s">
        <v>12</v>
      </c>
      <c r="D79" t="s">
        <v>27</v>
      </c>
      <c r="E79" t="s">
        <v>14</v>
      </c>
      <c r="F79" t="s">
        <v>29</v>
      </c>
      <c r="G79">
        <v>1</v>
      </c>
      <c r="H79">
        <v>800</v>
      </c>
      <c r="I79">
        <f t="shared" si="4"/>
        <v>720</v>
      </c>
      <c r="J79" s="4">
        <v>5</v>
      </c>
      <c r="K79">
        <f t="shared" si="5"/>
        <v>800</v>
      </c>
      <c r="L79" t="s">
        <v>44</v>
      </c>
      <c r="M79">
        <f t="shared" si="6"/>
        <v>40</v>
      </c>
      <c r="N79">
        <f t="shared" si="7"/>
        <v>40</v>
      </c>
      <c r="O79" s="6">
        <f t="shared" si="8"/>
        <v>0.05</v>
      </c>
    </row>
    <row r="80" spans="1:15" x14ac:dyDescent="0.35">
      <c r="A80">
        <v>1079</v>
      </c>
      <c r="B80">
        <v>45708</v>
      </c>
      <c r="C80" t="s">
        <v>16</v>
      </c>
      <c r="D80" t="s">
        <v>28</v>
      </c>
      <c r="E80" t="s">
        <v>10</v>
      </c>
      <c r="F80" t="s">
        <v>11</v>
      </c>
      <c r="G80">
        <v>1</v>
      </c>
      <c r="H80">
        <v>21000</v>
      </c>
      <c r="I80">
        <f t="shared" si="4"/>
        <v>18900</v>
      </c>
      <c r="J80" s="4">
        <v>0</v>
      </c>
      <c r="K80">
        <f t="shared" si="5"/>
        <v>21000</v>
      </c>
      <c r="L80" t="s">
        <v>44</v>
      </c>
      <c r="M80">
        <f t="shared" si="6"/>
        <v>0</v>
      </c>
      <c r="N80">
        <f t="shared" si="7"/>
        <v>2100</v>
      </c>
      <c r="O80" s="6">
        <f t="shared" si="8"/>
        <v>0.1</v>
      </c>
    </row>
    <row r="81" spans="1:15" x14ac:dyDescent="0.35">
      <c r="A81">
        <v>1080</v>
      </c>
      <c r="B81">
        <v>45710</v>
      </c>
      <c r="C81" t="s">
        <v>19</v>
      </c>
      <c r="D81" t="s">
        <v>31</v>
      </c>
      <c r="E81" t="s">
        <v>21</v>
      </c>
      <c r="F81" t="s">
        <v>30</v>
      </c>
      <c r="G81">
        <v>5</v>
      </c>
      <c r="H81">
        <v>3500</v>
      </c>
      <c r="I81">
        <f t="shared" si="4"/>
        <v>3150</v>
      </c>
      <c r="J81" s="4">
        <v>10</v>
      </c>
      <c r="K81">
        <f t="shared" si="5"/>
        <v>17500</v>
      </c>
      <c r="L81" t="s">
        <v>44</v>
      </c>
      <c r="M81">
        <f t="shared" si="6"/>
        <v>1750</v>
      </c>
      <c r="N81">
        <f t="shared" si="7"/>
        <v>0</v>
      </c>
      <c r="O81" s="6">
        <f t="shared" si="8"/>
        <v>0</v>
      </c>
    </row>
    <row r="82" spans="1:15" x14ac:dyDescent="0.35">
      <c r="A82">
        <v>1081</v>
      </c>
      <c r="B82">
        <v>45660</v>
      </c>
      <c r="C82" t="s">
        <v>8</v>
      </c>
      <c r="D82" t="s">
        <v>9</v>
      </c>
      <c r="E82" t="s">
        <v>10</v>
      </c>
      <c r="F82" t="s">
        <v>11</v>
      </c>
      <c r="G82">
        <v>2</v>
      </c>
      <c r="H82">
        <v>2600</v>
      </c>
      <c r="I82">
        <f t="shared" si="4"/>
        <v>2340</v>
      </c>
      <c r="J82" s="4">
        <v>0</v>
      </c>
      <c r="K82">
        <f t="shared" si="5"/>
        <v>5200</v>
      </c>
      <c r="L82" t="s">
        <v>43</v>
      </c>
      <c r="M82">
        <f t="shared" si="6"/>
        <v>0</v>
      </c>
      <c r="N82">
        <f t="shared" si="7"/>
        <v>520</v>
      </c>
      <c r="O82" s="6">
        <f t="shared" si="8"/>
        <v>0.1</v>
      </c>
    </row>
    <row r="83" spans="1:15" x14ac:dyDescent="0.35">
      <c r="A83">
        <v>1082</v>
      </c>
      <c r="B83">
        <v>45662</v>
      </c>
      <c r="C83" t="s">
        <v>12</v>
      </c>
      <c r="D83" t="s">
        <v>13</v>
      </c>
      <c r="E83" t="s">
        <v>14</v>
      </c>
      <c r="F83" t="s">
        <v>15</v>
      </c>
      <c r="G83">
        <v>5</v>
      </c>
      <c r="H83">
        <v>58000</v>
      </c>
      <c r="I83">
        <f t="shared" si="4"/>
        <v>52200</v>
      </c>
      <c r="J83" s="4">
        <v>0</v>
      </c>
      <c r="K83">
        <f t="shared" si="5"/>
        <v>290000</v>
      </c>
      <c r="L83" t="s">
        <v>43</v>
      </c>
      <c r="M83">
        <f t="shared" si="6"/>
        <v>0</v>
      </c>
      <c r="N83">
        <f t="shared" si="7"/>
        <v>29000</v>
      </c>
      <c r="O83" s="6">
        <f t="shared" si="8"/>
        <v>0.1</v>
      </c>
    </row>
    <row r="84" spans="1:15" x14ac:dyDescent="0.35">
      <c r="A84">
        <v>1083</v>
      </c>
      <c r="B84">
        <v>45663</v>
      </c>
      <c r="C84" t="s">
        <v>16</v>
      </c>
      <c r="D84" t="s">
        <v>17</v>
      </c>
      <c r="E84" t="s">
        <v>10</v>
      </c>
      <c r="F84" t="s">
        <v>18</v>
      </c>
      <c r="G84">
        <v>3</v>
      </c>
      <c r="H84">
        <v>11000</v>
      </c>
      <c r="I84">
        <f t="shared" si="4"/>
        <v>9900</v>
      </c>
      <c r="J84" s="4">
        <v>5</v>
      </c>
      <c r="K84">
        <f t="shared" si="5"/>
        <v>33000</v>
      </c>
      <c r="L84" t="s">
        <v>43</v>
      </c>
      <c r="M84">
        <f t="shared" si="6"/>
        <v>1650</v>
      </c>
      <c r="N84">
        <f t="shared" si="7"/>
        <v>1650</v>
      </c>
      <c r="O84" s="6">
        <f t="shared" si="8"/>
        <v>0.05</v>
      </c>
    </row>
    <row r="85" spans="1:15" x14ac:dyDescent="0.35">
      <c r="A85">
        <v>1084</v>
      </c>
      <c r="B85">
        <v>45664</v>
      </c>
      <c r="C85" t="s">
        <v>19</v>
      </c>
      <c r="D85" t="s">
        <v>20</v>
      </c>
      <c r="E85" t="s">
        <v>21</v>
      </c>
      <c r="F85" t="s">
        <v>22</v>
      </c>
      <c r="G85">
        <v>4</v>
      </c>
      <c r="H85">
        <v>2200</v>
      </c>
      <c r="I85">
        <f t="shared" si="4"/>
        <v>1980</v>
      </c>
      <c r="J85" s="4">
        <v>0</v>
      </c>
      <c r="K85">
        <f t="shared" si="5"/>
        <v>8800</v>
      </c>
      <c r="L85" t="s">
        <v>43</v>
      </c>
      <c r="M85">
        <f t="shared" si="6"/>
        <v>0</v>
      </c>
      <c r="N85">
        <f t="shared" si="7"/>
        <v>880</v>
      </c>
      <c r="O85" s="6">
        <f t="shared" si="8"/>
        <v>0.1</v>
      </c>
    </row>
    <row r="86" spans="1:15" x14ac:dyDescent="0.35">
      <c r="A86">
        <v>1085</v>
      </c>
      <c r="B86">
        <v>45667</v>
      </c>
      <c r="C86" t="s">
        <v>8</v>
      </c>
      <c r="D86" t="s">
        <v>13</v>
      </c>
      <c r="E86" t="s">
        <v>14</v>
      </c>
      <c r="F86" t="s">
        <v>23</v>
      </c>
      <c r="G86">
        <v>2</v>
      </c>
      <c r="H86">
        <v>55000</v>
      </c>
      <c r="I86">
        <f t="shared" si="4"/>
        <v>49500</v>
      </c>
      <c r="J86" s="4">
        <v>0</v>
      </c>
      <c r="K86">
        <f t="shared" si="5"/>
        <v>110000</v>
      </c>
      <c r="L86" t="s">
        <v>43</v>
      </c>
      <c r="M86">
        <f t="shared" si="6"/>
        <v>0</v>
      </c>
      <c r="N86">
        <f t="shared" si="7"/>
        <v>11000</v>
      </c>
      <c r="O86" s="6">
        <f t="shared" si="8"/>
        <v>0.1</v>
      </c>
    </row>
    <row r="87" spans="1:15" x14ac:dyDescent="0.35">
      <c r="A87">
        <v>1086</v>
      </c>
      <c r="B87">
        <v>45668</v>
      </c>
      <c r="C87" t="s">
        <v>12</v>
      </c>
      <c r="D87" t="s">
        <v>24</v>
      </c>
      <c r="E87" t="s">
        <v>10</v>
      </c>
      <c r="F87" t="s">
        <v>25</v>
      </c>
      <c r="G87">
        <v>6</v>
      </c>
      <c r="H87">
        <v>3500</v>
      </c>
      <c r="I87">
        <f t="shared" ref="I87:I150" si="9">H87*90%</f>
        <v>3150</v>
      </c>
      <c r="J87" s="4">
        <v>5</v>
      </c>
      <c r="K87">
        <f t="shared" si="5"/>
        <v>21000</v>
      </c>
      <c r="L87" t="s">
        <v>43</v>
      </c>
      <c r="M87">
        <f t="shared" si="6"/>
        <v>1050</v>
      </c>
      <c r="N87">
        <f t="shared" si="7"/>
        <v>1050</v>
      </c>
      <c r="O87" s="6">
        <f t="shared" si="8"/>
        <v>0.05</v>
      </c>
    </row>
    <row r="88" spans="1:15" x14ac:dyDescent="0.35">
      <c r="A88">
        <v>1087</v>
      </c>
      <c r="B88">
        <v>45670</v>
      </c>
      <c r="C88" t="s">
        <v>16</v>
      </c>
      <c r="D88" t="s">
        <v>9</v>
      </c>
      <c r="E88" t="s">
        <v>21</v>
      </c>
      <c r="F88" t="s">
        <v>26</v>
      </c>
      <c r="G88">
        <v>3</v>
      </c>
      <c r="H88">
        <v>22000</v>
      </c>
      <c r="I88">
        <f>H88*89%</f>
        <v>19580</v>
      </c>
      <c r="J88" s="4">
        <v>10</v>
      </c>
      <c r="K88">
        <f t="shared" si="5"/>
        <v>66000</v>
      </c>
      <c r="L88" t="s">
        <v>43</v>
      </c>
      <c r="M88">
        <f t="shared" si="6"/>
        <v>6600</v>
      </c>
      <c r="N88">
        <f t="shared" si="7"/>
        <v>660</v>
      </c>
      <c r="O88" s="6">
        <f t="shared" si="8"/>
        <v>0.01</v>
      </c>
    </row>
    <row r="89" spans="1:15" x14ac:dyDescent="0.35">
      <c r="A89">
        <v>1088</v>
      </c>
      <c r="B89">
        <v>45672</v>
      </c>
      <c r="C89" t="s">
        <v>19</v>
      </c>
      <c r="D89" t="s">
        <v>27</v>
      </c>
      <c r="E89" t="s">
        <v>10</v>
      </c>
      <c r="F89" t="s">
        <v>11</v>
      </c>
      <c r="G89">
        <v>1</v>
      </c>
      <c r="H89">
        <v>2500</v>
      </c>
      <c r="I89">
        <f t="shared" si="9"/>
        <v>2250</v>
      </c>
      <c r="J89" s="4">
        <v>0</v>
      </c>
      <c r="K89">
        <f t="shared" si="5"/>
        <v>2500</v>
      </c>
      <c r="L89" t="s">
        <v>43</v>
      </c>
      <c r="M89">
        <f t="shared" si="6"/>
        <v>0</v>
      </c>
      <c r="N89">
        <f t="shared" si="7"/>
        <v>250</v>
      </c>
      <c r="O89" s="6">
        <f t="shared" si="8"/>
        <v>0.1</v>
      </c>
    </row>
    <row r="90" spans="1:15" x14ac:dyDescent="0.35">
      <c r="A90">
        <v>1089</v>
      </c>
      <c r="B90">
        <v>45675</v>
      </c>
      <c r="C90" t="s">
        <v>8</v>
      </c>
      <c r="D90" t="s">
        <v>28</v>
      </c>
      <c r="E90" t="s">
        <v>14</v>
      </c>
      <c r="F90" t="s">
        <v>29</v>
      </c>
      <c r="G90">
        <v>1</v>
      </c>
      <c r="H90">
        <v>12000</v>
      </c>
      <c r="I90">
        <f t="shared" si="9"/>
        <v>10800</v>
      </c>
      <c r="J90" s="4">
        <v>0</v>
      </c>
      <c r="K90">
        <f t="shared" si="5"/>
        <v>12000</v>
      </c>
      <c r="L90" t="s">
        <v>43</v>
      </c>
      <c r="M90">
        <f t="shared" si="6"/>
        <v>0</v>
      </c>
      <c r="N90">
        <f t="shared" si="7"/>
        <v>1200</v>
      </c>
      <c r="O90" s="6">
        <f t="shared" si="8"/>
        <v>0.1</v>
      </c>
    </row>
    <row r="91" spans="1:15" x14ac:dyDescent="0.35">
      <c r="A91">
        <v>1090</v>
      </c>
      <c r="B91">
        <v>45677</v>
      </c>
      <c r="C91" t="s">
        <v>12</v>
      </c>
      <c r="D91" t="s">
        <v>17</v>
      </c>
      <c r="E91" t="s">
        <v>21</v>
      </c>
      <c r="F91" t="s">
        <v>30</v>
      </c>
      <c r="G91">
        <v>10</v>
      </c>
      <c r="H91">
        <v>2000</v>
      </c>
      <c r="I91">
        <f t="shared" si="9"/>
        <v>1800</v>
      </c>
      <c r="J91" s="4">
        <v>5</v>
      </c>
      <c r="K91">
        <f t="shared" si="5"/>
        <v>20000</v>
      </c>
      <c r="L91" t="s">
        <v>43</v>
      </c>
      <c r="M91">
        <f t="shared" si="6"/>
        <v>1000</v>
      </c>
      <c r="N91">
        <f t="shared" si="7"/>
        <v>1000</v>
      </c>
      <c r="O91" s="6">
        <f t="shared" si="8"/>
        <v>0.05</v>
      </c>
    </row>
    <row r="92" spans="1:15" x14ac:dyDescent="0.35">
      <c r="A92">
        <v>1091</v>
      </c>
      <c r="B92">
        <v>45690</v>
      </c>
      <c r="C92" t="s">
        <v>16</v>
      </c>
      <c r="D92" t="s">
        <v>31</v>
      </c>
      <c r="E92" t="s">
        <v>10</v>
      </c>
      <c r="F92" t="s">
        <v>18</v>
      </c>
      <c r="G92">
        <v>2</v>
      </c>
      <c r="H92">
        <v>3000</v>
      </c>
      <c r="I92">
        <f t="shared" si="9"/>
        <v>2700</v>
      </c>
      <c r="J92" s="4">
        <v>0</v>
      </c>
      <c r="K92">
        <f t="shared" si="5"/>
        <v>6000</v>
      </c>
      <c r="L92" t="s">
        <v>44</v>
      </c>
      <c r="M92">
        <f t="shared" si="6"/>
        <v>0</v>
      </c>
      <c r="N92">
        <f t="shared" si="7"/>
        <v>600</v>
      </c>
      <c r="O92" s="6">
        <f t="shared" si="8"/>
        <v>0.1</v>
      </c>
    </row>
    <row r="93" spans="1:15" x14ac:dyDescent="0.35">
      <c r="A93">
        <v>1092</v>
      </c>
      <c r="B93">
        <v>45692</v>
      </c>
      <c r="C93" t="s">
        <v>19</v>
      </c>
      <c r="D93" t="s">
        <v>13</v>
      </c>
      <c r="E93" t="s">
        <v>14</v>
      </c>
      <c r="F93" t="s">
        <v>15</v>
      </c>
      <c r="G93">
        <v>3</v>
      </c>
      <c r="H93">
        <v>60000</v>
      </c>
      <c r="I93">
        <f t="shared" si="9"/>
        <v>54000</v>
      </c>
      <c r="J93" s="4">
        <v>9</v>
      </c>
      <c r="K93">
        <f t="shared" si="5"/>
        <v>180000</v>
      </c>
      <c r="L93" t="s">
        <v>44</v>
      </c>
      <c r="M93">
        <f t="shared" si="6"/>
        <v>16200</v>
      </c>
      <c r="N93">
        <f t="shared" si="7"/>
        <v>1800</v>
      </c>
      <c r="O93" s="6">
        <f t="shared" si="8"/>
        <v>0.01</v>
      </c>
    </row>
    <row r="94" spans="1:15" x14ac:dyDescent="0.35">
      <c r="A94">
        <v>1093</v>
      </c>
      <c r="B94">
        <v>45694</v>
      </c>
      <c r="C94" t="s">
        <v>8</v>
      </c>
      <c r="D94" t="s">
        <v>32</v>
      </c>
      <c r="E94" t="s">
        <v>21</v>
      </c>
      <c r="F94" t="s">
        <v>22</v>
      </c>
      <c r="G94">
        <v>2</v>
      </c>
      <c r="H94">
        <v>45000</v>
      </c>
      <c r="I94">
        <f t="shared" si="9"/>
        <v>40500</v>
      </c>
      <c r="J94" s="4">
        <v>0</v>
      </c>
      <c r="K94">
        <f t="shared" si="5"/>
        <v>90000</v>
      </c>
      <c r="L94" t="s">
        <v>44</v>
      </c>
      <c r="M94">
        <f t="shared" si="6"/>
        <v>0</v>
      </c>
      <c r="N94">
        <f t="shared" si="7"/>
        <v>9000</v>
      </c>
      <c r="O94" s="6">
        <f t="shared" si="8"/>
        <v>0.1</v>
      </c>
    </row>
    <row r="95" spans="1:15" x14ac:dyDescent="0.35">
      <c r="A95">
        <v>1094</v>
      </c>
      <c r="B95">
        <v>45696</v>
      </c>
      <c r="C95" t="s">
        <v>12</v>
      </c>
      <c r="D95" t="s">
        <v>20</v>
      </c>
      <c r="E95" t="s">
        <v>10</v>
      </c>
      <c r="F95" t="s">
        <v>11</v>
      </c>
      <c r="G95">
        <v>1</v>
      </c>
      <c r="H95">
        <v>800</v>
      </c>
      <c r="I95">
        <f t="shared" si="9"/>
        <v>720</v>
      </c>
      <c r="J95" s="4">
        <v>5</v>
      </c>
      <c r="K95">
        <f t="shared" si="5"/>
        <v>800</v>
      </c>
      <c r="L95" t="s">
        <v>44</v>
      </c>
      <c r="M95">
        <f t="shared" si="6"/>
        <v>40</v>
      </c>
      <c r="N95">
        <f t="shared" si="7"/>
        <v>40</v>
      </c>
      <c r="O95" s="6">
        <f t="shared" si="8"/>
        <v>0.05</v>
      </c>
    </row>
    <row r="96" spans="1:15" x14ac:dyDescent="0.35">
      <c r="A96">
        <v>1095</v>
      </c>
      <c r="B96">
        <v>45698</v>
      </c>
      <c r="C96" t="s">
        <v>16</v>
      </c>
      <c r="D96" t="s">
        <v>33</v>
      </c>
      <c r="E96" t="s">
        <v>14</v>
      </c>
      <c r="F96" t="s">
        <v>23</v>
      </c>
      <c r="G96">
        <v>1</v>
      </c>
      <c r="H96">
        <v>21000</v>
      </c>
      <c r="I96">
        <f t="shared" si="9"/>
        <v>18900</v>
      </c>
      <c r="J96" s="4">
        <v>0</v>
      </c>
      <c r="K96">
        <f t="shared" si="5"/>
        <v>21000</v>
      </c>
      <c r="L96" t="s">
        <v>44</v>
      </c>
      <c r="M96">
        <f t="shared" si="6"/>
        <v>0</v>
      </c>
      <c r="N96">
        <f t="shared" si="7"/>
        <v>2100</v>
      </c>
      <c r="O96" s="6">
        <f t="shared" si="8"/>
        <v>0.1</v>
      </c>
    </row>
    <row r="97" spans="1:15" x14ac:dyDescent="0.35">
      <c r="A97">
        <v>1096</v>
      </c>
      <c r="B97">
        <v>45700</v>
      </c>
      <c r="C97" t="s">
        <v>19</v>
      </c>
      <c r="D97" t="s">
        <v>9</v>
      </c>
      <c r="E97" t="s">
        <v>10</v>
      </c>
      <c r="F97" t="s">
        <v>25</v>
      </c>
      <c r="G97">
        <v>4</v>
      </c>
      <c r="H97">
        <v>3500</v>
      </c>
      <c r="I97">
        <f t="shared" si="9"/>
        <v>3150</v>
      </c>
      <c r="J97" s="4">
        <v>0</v>
      </c>
      <c r="K97">
        <f t="shared" si="5"/>
        <v>14000</v>
      </c>
      <c r="L97" t="s">
        <v>44</v>
      </c>
      <c r="M97">
        <f t="shared" si="6"/>
        <v>0</v>
      </c>
      <c r="N97">
        <f t="shared" si="7"/>
        <v>1400</v>
      </c>
      <c r="O97" s="6">
        <f t="shared" si="8"/>
        <v>0.1</v>
      </c>
    </row>
    <row r="98" spans="1:15" x14ac:dyDescent="0.35">
      <c r="A98">
        <v>1097</v>
      </c>
      <c r="B98">
        <v>45703</v>
      </c>
      <c r="C98" t="s">
        <v>8</v>
      </c>
      <c r="D98" t="s">
        <v>24</v>
      </c>
      <c r="E98" t="s">
        <v>21</v>
      </c>
      <c r="F98" t="s">
        <v>26</v>
      </c>
      <c r="G98">
        <v>2</v>
      </c>
      <c r="H98">
        <v>2600</v>
      </c>
      <c r="I98">
        <f t="shared" si="9"/>
        <v>2340</v>
      </c>
      <c r="J98" s="4">
        <v>9</v>
      </c>
      <c r="K98">
        <f t="shared" si="5"/>
        <v>5200</v>
      </c>
      <c r="L98" t="s">
        <v>44</v>
      </c>
      <c r="M98">
        <f t="shared" si="6"/>
        <v>468</v>
      </c>
      <c r="N98">
        <f t="shared" si="7"/>
        <v>52</v>
      </c>
      <c r="O98" s="6">
        <f t="shared" si="8"/>
        <v>0.01</v>
      </c>
    </row>
    <row r="99" spans="1:15" x14ac:dyDescent="0.35">
      <c r="A99">
        <v>1098</v>
      </c>
      <c r="B99">
        <v>45706</v>
      </c>
      <c r="C99" t="s">
        <v>12</v>
      </c>
      <c r="D99" t="s">
        <v>27</v>
      </c>
      <c r="E99" t="s">
        <v>14</v>
      </c>
      <c r="F99" t="s">
        <v>29</v>
      </c>
      <c r="G99">
        <v>1</v>
      </c>
      <c r="H99">
        <v>58000</v>
      </c>
      <c r="I99">
        <f t="shared" si="9"/>
        <v>52200</v>
      </c>
      <c r="J99" s="4">
        <v>5</v>
      </c>
      <c r="K99">
        <f t="shared" si="5"/>
        <v>58000</v>
      </c>
      <c r="L99" t="s">
        <v>44</v>
      </c>
      <c r="M99">
        <f t="shared" si="6"/>
        <v>2900</v>
      </c>
      <c r="N99">
        <f t="shared" si="7"/>
        <v>2900</v>
      </c>
      <c r="O99" s="6">
        <f t="shared" si="8"/>
        <v>0.05</v>
      </c>
    </row>
    <row r="100" spans="1:15" x14ac:dyDescent="0.35">
      <c r="A100">
        <v>1099</v>
      </c>
      <c r="B100">
        <v>45708</v>
      </c>
      <c r="C100" t="s">
        <v>16</v>
      </c>
      <c r="D100" t="s">
        <v>28</v>
      </c>
      <c r="E100" t="s">
        <v>10</v>
      </c>
      <c r="F100" t="s">
        <v>11</v>
      </c>
      <c r="G100">
        <v>1</v>
      </c>
      <c r="H100">
        <v>11000</v>
      </c>
      <c r="I100">
        <f t="shared" si="9"/>
        <v>9900</v>
      </c>
      <c r="J100" s="4">
        <v>0</v>
      </c>
      <c r="K100">
        <f t="shared" si="5"/>
        <v>11000</v>
      </c>
      <c r="L100" t="s">
        <v>44</v>
      </c>
      <c r="M100">
        <f t="shared" si="6"/>
        <v>0</v>
      </c>
      <c r="N100">
        <f t="shared" si="7"/>
        <v>1100</v>
      </c>
      <c r="O100" s="6">
        <f t="shared" si="8"/>
        <v>0.1</v>
      </c>
    </row>
    <row r="101" spans="1:15" x14ac:dyDescent="0.35">
      <c r="A101">
        <v>1100</v>
      </c>
      <c r="B101">
        <v>45710</v>
      </c>
      <c r="C101" t="s">
        <v>19</v>
      </c>
      <c r="D101" t="s">
        <v>31</v>
      </c>
      <c r="E101" t="s">
        <v>21</v>
      </c>
      <c r="F101" t="s">
        <v>30</v>
      </c>
      <c r="G101">
        <v>5</v>
      </c>
      <c r="H101">
        <v>2200</v>
      </c>
      <c r="I101">
        <f t="shared" si="9"/>
        <v>1980</v>
      </c>
      <c r="J101" s="4">
        <v>10</v>
      </c>
      <c r="K101">
        <f t="shared" si="5"/>
        <v>11000</v>
      </c>
      <c r="L101" t="s">
        <v>44</v>
      </c>
      <c r="M101">
        <f t="shared" si="6"/>
        <v>1100</v>
      </c>
      <c r="N101">
        <f t="shared" si="7"/>
        <v>0</v>
      </c>
      <c r="O101" s="6">
        <f t="shared" si="8"/>
        <v>0</v>
      </c>
    </row>
    <row r="102" spans="1:15" x14ac:dyDescent="0.35">
      <c r="A102">
        <v>1101</v>
      </c>
      <c r="B102">
        <v>45660</v>
      </c>
      <c r="C102" t="s">
        <v>8</v>
      </c>
      <c r="D102" t="s">
        <v>9</v>
      </c>
      <c r="E102" t="s">
        <v>10</v>
      </c>
      <c r="F102" t="s">
        <v>11</v>
      </c>
      <c r="G102">
        <v>2</v>
      </c>
      <c r="H102">
        <v>3200</v>
      </c>
      <c r="I102">
        <f t="shared" si="9"/>
        <v>2880</v>
      </c>
      <c r="J102" s="4">
        <v>0</v>
      </c>
      <c r="K102">
        <f t="shared" si="5"/>
        <v>6400</v>
      </c>
      <c r="L102" t="s">
        <v>43</v>
      </c>
      <c r="M102">
        <f t="shared" si="6"/>
        <v>0</v>
      </c>
      <c r="N102">
        <f t="shared" si="7"/>
        <v>640</v>
      </c>
      <c r="O102" s="6">
        <f t="shared" si="8"/>
        <v>0.1</v>
      </c>
    </row>
    <row r="103" spans="1:15" x14ac:dyDescent="0.35">
      <c r="A103">
        <v>1102</v>
      </c>
      <c r="B103">
        <v>45662</v>
      </c>
      <c r="C103" t="s">
        <v>12</v>
      </c>
      <c r="D103" t="s">
        <v>13</v>
      </c>
      <c r="E103" t="s">
        <v>14</v>
      </c>
      <c r="F103" t="s">
        <v>15</v>
      </c>
      <c r="G103">
        <v>5</v>
      </c>
      <c r="H103">
        <v>47000</v>
      </c>
      <c r="I103">
        <f t="shared" si="9"/>
        <v>42300</v>
      </c>
      <c r="J103" s="4">
        <v>0</v>
      </c>
      <c r="K103">
        <f t="shared" si="5"/>
        <v>235000</v>
      </c>
      <c r="L103" t="s">
        <v>43</v>
      </c>
      <c r="M103">
        <f t="shared" si="6"/>
        <v>0</v>
      </c>
      <c r="N103">
        <f t="shared" si="7"/>
        <v>23500</v>
      </c>
      <c r="O103" s="6">
        <f t="shared" si="8"/>
        <v>0.1</v>
      </c>
    </row>
    <row r="104" spans="1:15" x14ac:dyDescent="0.35">
      <c r="A104">
        <v>1103</v>
      </c>
      <c r="B104">
        <v>45663</v>
      </c>
      <c r="C104" t="s">
        <v>16</v>
      </c>
      <c r="D104" t="s">
        <v>17</v>
      </c>
      <c r="E104" t="s">
        <v>10</v>
      </c>
      <c r="F104" t="s">
        <v>18</v>
      </c>
      <c r="G104">
        <v>3</v>
      </c>
      <c r="H104">
        <v>59000</v>
      </c>
      <c r="I104">
        <f t="shared" si="9"/>
        <v>53100</v>
      </c>
      <c r="J104" s="4">
        <v>5</v>
      </c>
      <c r="K104">
        <f t="shared" si="5"/>
        <v>177000</v>
      </c>
      <c r="L104" t="s">
        <v>43</v>
      </c>
      <c r="M104">
        <f t="shared" si="6"/>
        <v>8850</v>
      </c>
      <c r="N104">
        <f t="shared" si="7"/>
        <v>8850</v>
      </c>
      <c r="O104" s="6">
        <f t="shared" si="8"/>
        <v>0.05</v>
      </c>
    </row>
    <row r="105" spans="1:15" x14ac:dyDescent="0.35">
      <c r="A105">
        <v>1104</v>
      </c>
      <c r="B105">
        <v>45664</v>
      </c>
      <c r="C105" t="s">
        <v>19</v>
      </c>
      <c r="D105" t="s">
        <v>20</v>
      </c>
      <c r="E105" t="s">
        <v>21</v>
      </c>
      <c r="F105" t="s">
        <v>22</v>
      </c>
      <c r="G105">
        <v>4</v>
      </c>
      <c r="H105">
        <v>850</v>
      </c>
      <c r="I105">
        <f t="shared" si="9"/>
        <v>765</v>
      </c>
      <c r="J105" s="4">
        <v>0</v>
      </c>
      <c r="K105">
        <f t="shared" si="5"/>
        <v>3400</v>
      </c>
      <c r="L105" t="s">
        <v>43</v>
      </c>
      <c r="M105">
        <f t="shared" si="6"/>
        <v>0</v>
      </c>
      <c r="N105">
        <f t="shared" si="7"/>
        <v>340</v>
      </c>
      <c r="O105" s="6">
        <f t="shared" si="8"/>
        <v>0.1</v>
      </c>
    </row>
    <row r="106" spans="1:15" x14ac:dyDescent="0.35">
      <c r="A106">
        <v>1105</v>
      </c>
      <c r="B106">
        <v>45667</v>
      </c>
      <c r="C106" t="s">
        <v>8</v>
      </c>
      <c r="D106" t="s">
        <v>13</v>
      </c>
      <c r="E106" t="s">
        <v>14</v>
      </c>
      <c r="F106" t="s">
        <v>23</v>
      </c>
      <c r="G106">
        <v>2</v>
      </c>
      <c r="H106">
        <v>3500</v>
      </c>
      <c r="I106">
        <f t="shared" si="9"/>
        <v>3150</v>
      </c>
      <c r="J106" s="4">
        <v>0</v>
      </c>
      <c r="K106">
        <f t="shared" si="5"/>
        <v>7000</v>
      </c>
      <c r="L106" t="s">
        <v>43</v>
      </c>
      <c r="M106">
        <f t="shared" si="6"/>
        <v>0</v>
      </c>
      <c r="N106">
        <f t="shared" si="7"/>
        <v>700</v>
      </c>
      <c r="O106" s="6">
        <f t="shared" si="8"/>
        <v>0.1</v>
      </c>
    </row>
    <row r="107" spans="1:15" x14ac:dyDescent="0.35">
      <c r="A107">
        <v>1106</v>
      </c>
      <c r="B107">
        <v>45668</v>
      </c>
      <c r="C107" t="s">
        <v>12</v>
      </c>
      <c r="D107" t="s">
        <v>24</v>
      </c>
      <c r="E107" t="s">
        <v>10</v>
      </c>
      <c r="F107" t="s">
        <v>25</v>
      </c>
      <c r="G107">
        <v>6</v>
      </c>
      <c r="H107">
        <v>2600</v>
      </c>
      <c r="I107">
        <f t="shared" si="9"/>
        <v>2340</v>
      </c>
      <c r="J107" s="4">
        <v>5</v>
      </c>
      <c r="K107">
        <f t="shared" si="5"/>
        <v>15600</v>
      </c>
      <c r="L107" t="s">
        <v>43</v>
      </c>
      <c r="M107">
        <f t="shared" si="6"/>
        <v>780</v>
      </c>
      <c r="N107">
        <f t="shared" si="7"/>
        <v>780</v>
      </c>
      <c r="O107" s="6">
        <f t="shared" si="8"/>
        <v>0.05</v>
      </c>
    </row>
    <row r="108" spans="1:15" x14ac:dyDescent="0.35">
      <c r="A108">
        <v>1107</v>
      </c>
      <c r="B108">
        <v>45670</v>
      </c>
      <c r="C108" t="s">
        <v>16</v>
      </c>
      <c r="D108" t="s">
        <v>9</v>
      </c>
      <c r="E108" t="s">
        <v>21</v>
      </c>
      <c r="F108" t="s">
        <v>26</v>
      </c>
      <c r="G108">
        <v>3</v>
      </c>
      <c r="H108">
        <v>58000</v>
      </c>
      <c r="I108">
        <f t="shared" si="9"/>
        <v>52200</v>
      </c>
      <c r="J108" s="4">
        <v>10</v>
      </c>
      <c r="K108">
        <f t="shared" si="5"/>
        <v>174000</v>
      </c>
      <c r="L108" t="s">
        <v>43</v>
      </c>
      <c r="M108">
        <f t="shared" si="6"/>
        <v>17400</v>
      </c>
      <c r="N108">
        <f t="shared" si="7"/>
        <v>0</v>
      </c>
      <c r="O108" s="6">
        <f t="shared" si="8"/>
        <v>0</v>
      </c>
    </row>
    <row r="109" spans="1:15" x14ac:dyDescent="0.35">
      <c r="A109">
        <v>1108</v>
      </c>
      <c r="B109">
        <v>45672</v>
      </c>
      <c r="C109" t="s">
        <v>19</v>
      </c>
      <c r="D109" t="s">
        <v>27</v>
      </c>
      <c r="E109" t="s">
        <v>10</v>
      </c>
      <c r="F109" t="s">
        <v>11</v>
      </c>
      <c r="G109">
        <v>1</v>
      </c>
      <c r="H109">
        <v>11000</v>
      </c>
      <c r="I109">
        <f t="shared" si="9"/>
        <v>9900</v>
      </c>
      <c r="J109" s="4">
        <v>0</v>
      </c>
      <c r="K109">
        <f t="shared" si="5"/>
        <v>11000</v>
      </c>
      <c r="L109" t="s">
        <v>43</v>
      </c>
      <c r="M109">
        <f t="shared" si="6"/>
        <v>0</v>
      </c>
      <c r="N109">
        <f t="shared" si="7"/>
        <v>1100</v>
      </c>
      <c r="O109" s="6">
        <f t="shared" si="8"/>
        <v>0.1</v>
      </c>
    </row>
    <row r="110" spans="1:15" x14ac:dyDescent="0.35">
      <c r="A110">
        <v>1109</v>
      </c>
      <c r="B110">
        <v>45675</v>
      </c>
      <c r="C110" t="s">
        <v>8</v>
      </c>
      <c r="D110" t="s">
        <v>28</v>
      </c>
      <c r="E110" t="s">
        <v>14</v>
      </c>
      <c r="F110" t="s">
        <v>29</v>
      </c>
      <c r="G110">
        <v>1</v>
      </c>
      <c r="H110">
        <v>2200</v>
      </c>
      <c r="I110">
        <f t="shared" si="9"/>
        <v>1980</v>
      </c>
      <c r="J110" s="4">
        <v>0</v>
      </c>
      <c r="K110">
        <f t="shared" si="5"/>
        <v>2200</v>
      </c>
      <c r="L110" t="s">
        <v>43</v>
      </c>
      <c r="M110">
        <f t="shared" si="6"/>
        <v>0</v>
      </c>
      <c r="N110">
        <f t="shared" si="7"/>
        <v>220</v>
      </c>
      <c r="O110" s="6">
        <f t="shared" si="8"/>
        <v>0.1</v>
      </c>
    </row>
    <row r="111" spans="1:15" x14ac:dyDescent="0.35">
      <c r="A111">
        <v>1110</v>
      </c>
      <c r="B111">
        <v>45677</v>
      </c>
      <c r="C111" t="s">
        <v>12</v>
      </c>
      <c r="D111" t="s">
        <v>17</v>
      </c>
      <c r="E111" t="s">
        <v>21</v>
      </c>
      <c r="F111" t="s">
        <v>30</v>
      </c>
      <c r="G111">
        <v>10</v>
      </c>
      <c r="H111">
        <v>3200</v>
      </c>
      <c r="I111">
        <f t="shared" si="9"/>
        <v>2880</v>
      </c>
      <c r="J111" s="4">
        <v>0</v>
      </c>
      <c r="K111">
        <f t="shared" si="5"/>
        <v>32000</v>
      </c>
      <c r="L111" t="s">
        <v>43</v>
      </c>
      <c r="M111">
        <f t="shared" si="6"/>
        <v>0</v>
      </c>
      <c r="N111">
        <f t="shared" si="7"/>
        <v>3200</v>
      </c>
      <c r="O111" s="6">
        <f t="shared" si="8"/>
        <v>0.1</v>
      </c>
    </row>
    <row r="112" spans="1:15" x14ac:dyDescent="0.35">
      <c r="A112">
        <v>1111</v>
      </c>
      <c r="B112">
        <v>45690</v>
      </c>
      <c r="C112" t="s">
        <v>16</v>
      </c>
      <c r="D112" t="s">
        <v>31</v>
      </c>
      <c r="E112" t="s">
        <v>10</v>
      </c>
      <c r="F112" t="s">
        <v>18</v>
      </c>
      <c r="G112">
        <v>2</v>
      </c>
      <c r="H112">
        <v>47000</v>
      </c>
      <c r="I112">
        <f t="shared" si="9"/>
        <v>42300</v>
      </c>
      <c r="J112" s="4">
        <v>0</v>
      </c>
      <c r="K112">
        <f t="shared" si="5"/>
        <v>94000</v>
      </c>
      <c r="L112" t="s">
        <v>44</v>
      </c>
      <c r="M112">
        <f t="shared" si="6"/>
        <v>0</v>
      </c>
      <c r="N112">
        <f t="shared" si="7"/>
        <v>9400</v>
      </c>
      <c r="O112" s="6">
        <f t="shared" si="8"/>
        <v>0.1</v>
      </c>
    </row>
    <row r="113" spans="1:15" x14ac:dyDescent="0.35">
      <c r="A113">
        <v>1112</v>
      </c>
      <c r="B113">
        <v>45692</v>
      </c>
      <c r="C113" t="s">
        <v>19</v>
      </c>
      <c r="D113" t="s">
        <v>13</v>
      </c>
      <c r="E113" t="s">
        <v>14</v>
      </c>
      <c r="F113" t="s">
        <v>15</v>
      </c>
      <c r="G113">
        <v>3</v>
      </c>
      <c r="H113">
        <v>59000</v>
      </c>
      <c r="I113">
        <f t="shared" si="9"/>
        <v>53100</v>
      </c>
      <c r="J113" s="4">
        <v>5</v>
      </c>
      <c r="K113">
        <f t="shared" si="5"/>
        <v>177000</v>
      </c>
      <c r="L113" t="s">
        <v>44</v>
      </c>
      <c r="M113">
        <f t="shared" si="6"/>
        <v>8850</v>
      </c>
      <c r="N113">
        <f t="shared" si="7"/>
        <v>8850</v>
      </c>
      <c r="O113" s="6">
        <f t="shared" si="8"/>
        <v>0.05</v>
      </c>
    </row>
    <row r="114" spans="1:15" x14ac:dyDescent="0.35">
      <c r="A114">
        <v>1113</v>
      </c>
      <c r="B114">
        <v>45694</v>
      </c>
      <c r="C114" t="s">
        <v>8</v>
      </c>
      <c r="D114" t="s">
        <v>32</v>
      </c>
      <c r="E114" t="s">
        <v>21</v>
      </c>
      <c r="F114" t="s">
        <v>22</v>
      </c>
      <c r="G114">
        <v>2</v>
      </c>
      <c r="H114">
        <v>850</v>
      </c>
      <c r="I114">
        <f t="shared" si="9"/>
        <v>765</v>
      </c>
      <c r="J114" s="4">
        <v>0</v>
      </c>
      <c r="K114">
        <f t="shared" si="5"/>
        <v>1700</v>
      </c>
      <c r="L114" t="s">
        <v>44</v>
      </c>
      <c r="M114">
        <f t="shared" si="6"/>
        <v>0</v>
      </c>
      <c r="N114">
        <f t="shared" si="7"/>
        <v>170</v>
      </c>
      <c r="O114" s="6">
        <f t="shared" si="8"/>
        <v>0.1</v>
      </c>
    </row>
    <row r="115" spans="1:15" x14ac:dyDescent="0.35">
      <c r="A115">
        <v>1114</v>
      </c>
      <c r="B115">
        <v>45696</v>
      </c>
      <c r="C115" t="s">
        <v>12</v>
      </c>
      <c r="D115" t="s">
        <v>20</v>
      </c>
      <c r="E115" t="s">
        <v>10</v>
      </c>
      <c r="F115" t="s">
        <v>11</v>
      </c>
      <c r="G115">
        <v>1</v>
      </c>
      <c r="H115">
        <v>2500</v>
      </c>
      <c r="I115">
        <f t="shared" si="9"/>
        <v>2250</v>
      </c>
      <c r="J115" s="4">
        <v>0</v>
      </c>
      <c r="K115">
        <f t="shared" si="5"/>
        <v>2500</v>
      </c>
      <c r="L115" t="s">
        <v>44</v>
      </c>
      <c r="M115">
        <f t="shared" si="6"/>
        <v>0</v>
      </c>
      <c r="N115">
        <f t="shared" si="7"/>
        <v>250</v>
      </c>
      <c r="O115" s="6">
        <f t="shared" si="8"/>
        <v>0.1</v>
      </c>
    </row>
    <row r="116" spans="1:15" x14ac:dyDescent="0.35">
      <c r="A116">
        <v>1115</v>
      </c>
      <c r="B116">
        <v>45698</v>
      </c>
      <c r="C116" t="s">
        <v>16</v>
      </c>
      <c r="D116" t="s">
        <v>33</v>
      </c>
      <c r="E116" t="s">
        <v>14</v>
      </c>
      <c r="F116" t="s">
        <v>23</v>
      </c>
      <c r="G116">
        <v>1</v>
      </c>
      <c r="H116">
        <v>12000</v>
      </c>
      <c r="I116">
        <f t="shared" si="9"/>
        <v>10800</v>
      </c>
      <c r="J116" s="4">
        <v>5</v>
      </c>
      <c r="K116">
        <f t="shared" si="5"/>
        <v>12000</v>
      </c>
      <c r="L116" t="s">
        <v>44</v>
      </c>
      <c r="M116">
        <f t="shared" si="6"/>
        <v>600</v>
      </c>
      <c r="N116">
        <f t="shared" si="7"/>
        <v>600</v>
      </c>
      <c r="O116" s="6">
        <f t="shared" si="8"/>
        <v>0.05</v>
      </c>
    </row>
    <row r="117" spans="1:15" x14ac:dyDescent="0.35">
      <c r="A117">
        <v>1116</v>
      </c>
      <c r="B117">
        <v>45700</v>
      </c>
      <c r="C117" t="s">
        <v>19</v>
      </c>
      <c r="D117" t="s">
        <v>9</v>
      </c>
      <c r="E117" t="s">
        <v>10</v>
      </c>
      <c r="F117" t="s">
        <v>25</v>
      </c>
      <c r="G117">
        <v>4</v>
      </c>
      <c r="H117">
        <v>2000</v>
      </c>
      <c r="I117">
        <f t="shared" si="9"/>
        <v>1800</v>
      </c>
      <c r="J117" s="4">
        <v>10</v>
      </c>
      <c r="K117">
        <f t="shared" si="5"/>
        <v>8000</v>
      </c>
      <c r="L117" t="s">
        <v>44</v>
      </c>
      <c r="M117">
        <f t="shared" si="6"/>
        <v>800</v>
      </c>
      <c r="N117">
        <f t="shared" si="7"/>
        <v>0</v>
      </c>
      <c r="O117" s="6">
        <f t="shared" si="8"/>
        <v>0</v>
      </c>
    </row>
    <row r="118" spans="1:15" x14ac:dyDescent="0.35">
      <c r="A118">
        <v>1117</v>
      </c>
      <c r="B118">
        <v>45703</v>
      </c>
      <c r="C118" t="s">
        <v>8</v>
      </c>
      <c r="D118" t="s">
        <v>24</v>
      </c>
      <c r="E118" t="s">
        <v>21</v>
      </c>
      <c r="F118" t="s">
        <v>26</v>
      </c>
      <c r="G118">
        <v>2</v>
      </c>
      <c r="H118">
        <v>3000</v>
      </c>
      <c r="I118">
        <f t="shared" si="9"/>
        <v>2700</v>
      </c>
      <c r="J118" s="4">
        <v>0</v>
      </c>
      <c r="K118">
        <f t="shared" si="5"/>
        <v>6000</v>
      </c>
      <c r="L118" t="s">
        <v>44</v>
      </c>
      <c r="M118">
        <f t="shared" si="6"/>
        <v>0</v>
      </c>
      <c r="N118">
        <f t="shared" si="7"/>
        <v>600</v>
      </c>
      <c r="O118" s="6">
        <f t="shared" si="8"/>
        <v>0.1</v>
      </c>
    </row>
    <row r="119" spans="1:15" x14ac:dyDescent="0.35">
      <c r="A119">
        <v>1118</v>
      </c>
      <c r="B119">
        <v>45706</v>
      </c>
      <c r="C119" t="s">
        <v>12</v>
      </c>
      <c r="D119" t="s">
        <v>27</v>
      </c>
      <c r="E119" t="s">
        <v>14</v>
      </c>
      <c r="F119" t="s">
        <v>29</v>
      </c>
      <c r="G119">
        <v>1</v>
      </c>
      <c r="H119">
        <v>60000</v>
      </c>
      <c r="I119">
        <f t="shared" si="9"/>
        <v>54000</v>
      </c>
      <c r="J119" s="4">
        <v>0</v>
      </c>
      <c r="K119">
        <f t="shared" si="5"/>
        <v>60000</v>
      </c>
      <c r="L119" t="s">
        <v>44</v>
      </c>
      <c r="M119">
        <f t="shared" si="6"/>
        <v>0</v>
      </c>
      <c r="N119">
        <f t="shared" si="7"/>
        <v>6000</v>
      </c>
      <c r="O119" s="6">
        <f t="shared" si="8"/>
        <v>0.1</v>
      </c>
    </row>
    <row r="120" spans="1:15" x14ac:dyDescent="0.35">
      <c r="A120">
        <v>1119</v>
      </c>
      <c r="B120">
        <v>45708</v>
      </c>
      <c r="C120" t="s">
        <v>16</v>
      </c>
      <c r="D120" t="s">
        <v>28</v>
      </c>
      <c r="E120" t="s">
        <v>10</v>
      </c>
      <c r="F120" t="s">
        <v>11</v>
      </c>
      <c r="G120">
        <v>1</v>
      </c>
      <c r="H120">
        <v>45000</v>
      </c>
      <c r="I120">
        <f t="shared" si="9"/>
        <v>40500</v>
      </c>
      <c r="J120" s="4">
        <v>5</v>
      </c>
      <c r="K120">
        <f t="shared" si="5"/>
        <v>45000</v>
      </c>
      <c r="L120" t="s">
        <v>44</v>
      </c>
      <c r="M120">
        <f t="shared" si="6"/>
        <v>2250</v>
      </c>
      <c r="N120">
        <f t="shared" si="7"/>
        <v>2250</v>
      </c>
      <c r="O120" s="6">
        <f t="shared" si="8"/>
        <v>0.05</v>
      </c>
    </row>
    <row r="121" spans="1:15" x14ac:dyDescent="0.35">
      <c r="A121">
        <v>1120</v>
      </c>
      <c r="B121">
        <v>45710</v>
      </c>
      <c r="C121" t="s">
        <v>19</v>
      </c>
      <c r="D121" t="s">
        <v>31</v>
      </c>
      <c r="E121" t="s">
        <v>21</v>
      </c>
      <c r="F121" t="s">
        <v>30</v>
      </c>
      <c r="G121">
        <v>5</v>
      </c>
      <c r="H121">
        <v>800</v>
      </c>
      <c r="I121">
        <f t="shared" si="9"/>
        <v>720</v>
      </c>
      <c r="J121" s="4">
        <v>0</v>
      </c>
      <c r="K121">
        <f t="shared" si="5"/>
        <v>4000</v>
      </c>
      <c r="L121" t="s">
        <v>44</v>
      </c>
      <c r="M121">
        <f t="shared" si="6"/>
        <v>0</v>
      </c>
      <c r="N121">
        <f t="shared" si="7"/>
        <v>400</v>
      </c>
      <c r="O121" s="6">
        <f t="shared" si="8"/>
        <v>0.1</v>
      </c>
    </row>
    <row r="122" spans="1:15" x14ac:dyDescent="0.35">
      <c r="A122">
        <v>1121</v>
      </c>
      <c r="B122">
        <v>45660</v>
      </c>
      <c r="C122" t="s">
        <v>8</v>
      </c>
      <c r="D122" t="s">
        <v>9</v>
      </c>
      <c r="E122" t="s">
        <v>10</v>
      </c>
      <c r="F122" t="s">
        <v>11</v>
      </c>
      <c r="G122">
        <v>2</v>
      </c>
      <c r="H122">
        <v>21000</v>
      </c>
      <c r="I122">
        <f t="shared" si="9"/>
        <v>18900</v>
      </c>
      <c r="J122" s="4">
        <v>10</v>
      </c>
      <c r="K122">
        <f t="shared" si="5"/>
        <v>42000</v>
      </c>
      <c r="L122" t="s">
        <v>43</v>
      </c>
      <c r="M122">
        <f t="shared" si="6"/>
        <v>4200</v>
      </c>
      <c r="N122">
        <f t="shared" si="7"/>
        <v>0</v>
      </c>
      <c r="O122" s="6">
        <f t="shared" si="8"/>
        <v>0</v>
      </c>
    </row>
    <row r="123" spans="1:15" x14ac:dyDescent="0.35">
      <c r="A123">
        <v>1122</v>
      </c>
      <c r="B123">
        <v>45662</v>
      </c>
      <c r="C123" t="s">
        <v>12</v>
      </c>
      <c r="D123" t="s">
        <v>13</v>
      </c>
      <c r="E123" t="s">
        <v>14</v>
      </c>
      <c r="F123" t="s">
        <v>15</v>
      </c>
      <c r="G123">
        <v>5</v>
      </c>
      <c r="H123">
        <v>3500</v>
      </c>
      <c r="I123">
        <f t="shared" si="9"/>
        <v>3150</v>
      </c>
      <c r="J123" s="4">
        <v>0</v>
      </c>
      <c r="K123">
        <f t="shared" si="5"/>
        <v>17500</v>
      </c>
      <c r="L123" t="s">
        <v>43</v>
      </c>
      <c r="M123">
        <f t="shared" si="6"/>
        <v>0</v>
      </c>
      <c r="N123">
        <f t="shared" si="7"/>
        <v>1750</v>
      </c>
      <c r="O123" s="6">
        <f t="shared" si="8"/>
        <v>0.1</v>
      </c>
    </row>
    <row r="124" spans="1:15" x14ac:dyDescent="0.35">
      <c r="A124">
        <v>1123</v>
      </c>
      <c r="B124">
        <v>45663</v>
      </c>
      <c r="C124" t="s">
        <v>16</v>
      </c>
      <c r="D124" t="s">
        <v>17</v>
      </c>
      <c r="E124" t="s">
        <v>10</v>
      </c>
      <c r="F124" t="s">
        <v>18</v>
      </c>
      <c r="G124">
        <v>3</v>
      </c>
      <c r="H124">
        <v>2600</v>
      </c>
      <c r="I124">
        <f t="shared" si="9"/>
        <v>2340</v>
      </c>
      <c r="J124" s="4">
        <v>5</v>
      </c>
      <c r="K124">
        <f t="shared" si="5"/>
        <v>7800</v>
      </c>
      <c r="L124" t="s">
        <v>43</v>
      </c>
      <c r="M124">
        <f t="shared" si="6"/>
        <v>390</v>
      </c>
      <c r="N124">
        <f t="shared" si="7"/>
        <v>390</v>
      </c>
      <c r="O124" s="6">
        <f t="shared" si="8"/>
        <v>0.05</v>
      </c>
    </row>
    <row r="125" spans="1:15" x14ac:dyDescent="0.35">
      <c r="A125">
        <v>1124</v>
      </c>
      <c r="B125">
        <v>45664</v>
      </c>
      <c r="C125" t="s">
        <v>19</v>
      </c>
      <c r="D125" t="s">
        <v>20</v>
      </c>
      <c r="E125" t="s">
        <v>21</v>
      </c>
      <c r="F125" t="s">
        <v>22</v>
      </c>
      <c r="G125">
        <v>4</v>
      </c>
      <c r="H125">
        <v>58000</v>
      </c>
      <c r="I125">
        <f t="shared" si="9"/>
        <v>52200</v>
      </c>
      <c r="J125" s="4">
        <v>0</v>
      </c>
      <c r="K125">
        <f t="shared" si="5"/>
        <v>232000</v>
      </c>
      <c r="L125" t="s">
        <v>43</v>
      </c>
      <c r="M125">
        <f t="shared" si="6"/>
        <v>0</v>
      </c>
      <c r="N125">
        <f t="shared" si="7"/>
        <v>23200</v>
      </c>
      <c r="O125" s="6">
        <f t="shared" si="8"/>
        <v>0.1</v>
      </c>
    </row>
    <row r="126" spans="1:15" x14ac:dyDescent="0.35">
      <c r="A126">
        <v>1125</v>
      </c>
      <c r="B126">
        <v>45667</v>
      </c>
      <c r="C126" t="s">
        <v>8</v>
      </c>
      <c r="D126" t="s">
        <v>13</v>
      </c>
      <c r="E126" t="s">
        <v>14</v>
      </c>
      <c r="F126" t="s">
        <v>23</v>
      </c>
      <c r="G126">
        <v>2</v>
      </c>
      <c r="H126">
        <v>11000</v>
      </c>
      <c r="I126">
        <f t="shared" si="9"/>
        <v>9900</v>
      </c>
      <c r="J126" s="4">
        <v>0</v>
      </c>
      <c r="K126">
        <f t="shared" si="5"/>
        <v>22000</v>
      </c>
      <c r="L126" t="s">
        <v>43</v>
      </c>
      <c r="M126">
        <f t="shared" si="6"/>
        <v>0</v>
      </c>
      <c r="N126">
        <f t="shared" si="7"/>
        <v>2200</v>
      </c>
      <c r="O126" s="6">
        <f t="shared" si="8"/>
        <v>0.1</v>
      </c>
    </row>
    <row r="127" spans="1:15" x14ac:dyDescent="0.35">
      <c r="A127">
        <v>1126</v>
      </c>
      <c r="B127">
        <v>45668</v>
      </c>
      <c r="C127" t="s">
        <v>12</v>
      </c>
      <c r="D127" t="s">
        <v>24</v>
      </c>
      <c r="E127" t="s">
        <v>10</v>
      </c>
      <c r="F127" t="s">
        <v>25</v>
      </c>
      <c r="G127">
        <v>6</v>
      </c>
      <c r="H127">
        <v>2200</v>
      </c>
      <c r="I127">
        <f t="shared" si="9"/>
        <v>1980</v>
      </c>
      <c r="J127" s="4">
        <v>9</v>
      </c>
      <c r="K127">
        <f t="shared" si="5"/>
        <v>13200</v>
      </c>
      <c r="L127" t="s">
        <v>43</v>
      </c>
      <c r="M127">
        <f t="shared" si="6"/>
        <v>1188</v>
      </c>
      <c r="N127">
        <f t="shared" si="7"/>
        <v>132</v>
      </c>
      <c r="O127" s="6">
        <f t="shared" si="8"/>
        <v>0.01</v>
      </c>
    </row>
    <row r="128" spans="1:15" x14ac:dyDescent="0.35">
      <c r="A128">
        <v>1127</v>
      </c>
      <c r="B128">
        <v>45670</v>
      </c>
      <c r="C128" t="s">
        <v>16</v>
      </c>
      <c r="D128" t="s">
        <v>9</v>
      </c>
      <c r="E128" t="s">
        <v>21</v>
      </c>
      <c r="F128" t="s">
        <v>26</v>
      </c>
      <c r="G128">
        <v>3</v>
      </c>
      <c r="H128">
        <v>55000</v>
      </c>
      <c r="I128">
        <f t="shared" si="9"/>
        <v>49500</v>
      </c>
      <c r="J128" s="4">
        <v>5</v>
      </c>
      <c r="K128">
        <f t="shared" si="5"/>
        <v>165000</v>
      </c>
      <c r="L128" t="s">
        <v>43</v>
      </c>
      <c r="M128">
        <f t="shared" si="6"/>
        <v>8250</v>
      </c>
      <c r="N128">
        <f t="shared" si="7"/>
        <v>8250</v>
      </c>
      <c r="O128" s="6">
        <f t="shared" si="8"/>
        <v>0.05</v>
      </c>
    </row>
    <row r="129" spans="1:15" x14ac:dyDescent="0.35">
      <c r="A129">
        <v>1128</v>
      </c>
      <c r="B129">
        <v>45672</v>
      </c>
      <c r="C129" t="s">
        <v>19</v>
      </c>
      <c r="D129" t="s">
        <v>27</v>
      </c>
      <c r="E129" t="s">
        <v>10</v>
      </c>
      <c r="F129" t="s">
        <v>11</v>
      </c>
      <c r="G129">
        <v>1</v>
      </c>
      <c r="H129">
        <v>3500</v>
      </c>
      <c r="I129">
        <f t="shared" si="9"/>
        <v>3150</v>
      </c>
      <c r="J129" s="4">
        <v>0</v>
      </c>
      <c r="K129">
        <f t="shared" si="5"/>
        <v>3500</v>
      </c>
      <c r="L129" t="s">
        <v>43</v>
      </c>
      <c r="M129">
        <f t="shared" si="6"/>
        <v>0</v>
      </c>
      <c r="N129">
        <f t="shared" si="7"/>
        <v>350</v>
      </c>
      <c r="O129" s="6">
        <f t="shared" si="8"/>
        <v>0.1</v>
      </c>
    </row>
    <row r="130" spans="1:15" x14ac:dyDescent="0.35">
      <c r="A130">
        <v>1129</v>
      </c>
      <c r="B130">
        <v>45675</v>
      </c>
      <c r="C130" t="s">
        <v>8</v>
      </c>
      <c r="D130" t="s">
        <v>28</v>
      </c>
      <c r="E130" t="s">
        <v>14</v>
      </c>
      <c r="F130" t="s">
        <v>29</v>
      </c>
      <c r="G130">
        <v>1</v>
      </c>
      <c r="H130">
        <v>22000</v>
      </c>
      <c r="I130">
        <f t="shared" si="9"/>
        <v>19800</v>
      </c>
      <c r="J130" s="4">
        <v>8</v>
      </c>
      <c r="K130">
        <f t="shared" si="5"/>
        <v>22000</v>
      </c>
      <c r="L130" t="s">
        <v>43</v>
      </c>
      <c r="M130">
        <f t="shared" si="6"/>
        <v>1760</v>
      </c>
      <c r="N130">
        <f t="shared" si="7"/>
        <v>440</v>
      </c>
      <c r="O130" s="6">
        <f t="shared" si="8"/>
        <v>0.02</v>
      </c>
    </row>
    <row r="131" spans="1:15" x14ac:dyDescent="0.35">
      <c r="A131">
        <v>1130</v>
      </c>
      <c r="B131">
        <v>45677</v>
      </c>
      <c r="C131" t="s">
        <v>12</v>
      </c>
      <c r="D131" t="s">
        <v>17</v>
      </c>
      <c r="E131" t="s">
        <v>21</v>
      </c>
      <c r="F131" t="s">
        <v>30</v>
      </c>
      <c r="G131">
        <v>10</v>
      </c>
      <c r="H131">
        <v>2500</v>
      </c>
      <c r="I131">
        <f t="shared" si="9"/>
        <v>2250</v>
      </c>
      <c r="J131" s="4">
        <v>0</v>
      </c>
      <c r="K131">
        <f t="shared" ref="K131:K194" si="10">H131*G131</f>
        <v>25000</v>
      </c>
      <c r="L131" t="s">
        <v>43</v>
      </c>
      <c r="M131">
        <f t="shared" ref="M131:M194" si="11">K131*(J131)%</f>
        <v>0</v>
      </c>
      <c r="N131">
        <f t="shared" ref="N131:N194" si="12">K131-(I131*G131)-M131</f>
        <v>2500</v>
      </c>
      <c r="O131" s="6">
        <f t="shared" ref="O131:O194" si="13">N131/K131</f>
        <v>0.1</v>
      </c>
    </row>
    <row r="132" spans="1:15" x14ac:dyDescent="0.35">
      <c r="A132">
        <v>1131</v>
      </c>
      <c r="B132">
        <v>45690</v>
      </c>
      <c r="C132" t="s">
        <v>16</v>
      </c>
      <c r="D132" t="s">
        <v>31</v>
      </c>
      <c r="E132" t="s">
        <v>10</v>
      </c>
      <c r="F132" t="s">
        <v>18</v>
      </c>
      <c r="G132">
        <v>2</v>
      </c>
      <c r="H132">
        <v>12000</v>
      </c>
      <c r="I132">
        <f t="shared" si="9"/>
        <v>10800</v>
      </c>
      <c r="J132" s="4">
        <v>0</v>
      </c>
      <c r="K132">
        <f t="shared" si="10"/>
        <v>24000</v>
      </c>
      <c r="L132" t="s">
        <v>44</v>
      </c>
      <c r="M132">
        <f t="shared" si="11"/>
        <v>0</v>
      </c>
      <c r="N132">
        <f t="shared" si="12"/>
        <v>2400</v>
      </c>
      <c r="O132" s="6">
        <f t="shared" si="13"/>
        <v>0.1</v>
      </c>
    </row>
    <row r="133" spans="1:15" x14ac:dyDescent="0.35">
      <c r="A133">
        <v>1132</v>
      </c>
      <c r="B133">
        <v>45692</v>
      </c>
      <c r="C133" t="s">
        <v>19</v>
      </c>
      <c r="D133" t="s">
        <v>13</v>
      </c>
      <c r="E133" t="s">
        <v>14</v>
      </c>
      <c r="F133" t="s">
        <v>15</v>
      </c>
      <c r="G133">
        <v>3</v>
      </c>
      <c r="H133">
        <v>2000</v>
      </c>
      <c r="I133">
        <f t="shared" si="9"/>
        <v>1800</v>
      </c>
      <c r="J133" s="4">
        <v>5</v>
      </c>
      <c r="K133">
        <f t="shared" si="10"/>
        <v>6000</v>
      </c>
      <c r="L133" t="s">
        <v>44</v>
      </c>
      <c r="M133">
        <f t="shared" si="11"/>
        <v>300</v>
      </c>
      <c r="N133">
        <f t="shared" si="12"/>
        <v>300</v>
      </c>
      <c r="O133" s="6">
        <f t="shared" si="13"/>
        <v>0.05</v>
      </c>
    </row>
    <row r="134" spans="1:15" x14ac:dyDescent="0.35">
      <c r="A134">
        <v>1133</v>
      </c>
      <c r="B134">
        <v>45694</v>
      </c>
      <c r="C134" t="s">
        <v>8</v>
      </c>
      <c r="D134" t="s">
        <v>32</v>
      </c>
      <c r="E134" t="s">
        <v>21</v>
      </c>
      <c r="F134" t="s">
        <v>22</v>
      </c>
      <c r="G134">
        <v>2</v>
      </c>
      <c r="H134">
        <v>3000</v>
      </c>
      <c r="I134">
        <f t="shared" si="9"/>
        <v>2700</v>
      </c>
      <c r="J134" s="4">
        <v>0</v>
      </c>
      <c r="K134">
        <f t="shared" si="10"/>
        <v>6000</v>
      </c>
      <c r="L134" t="s">
        <v>44</v>
      </c>
      <c r="M134">
        <f t="shared" si="11"/>
        <v>0</v>
      </c>
      <c r="N134">
        <f t="shared" si="12"/>
        <v>600</v>
      </c>
      <c r="O134" s="6">
        <f t="shared" si="13"/>
        <v>0.1</v>
      </c>
    </row>
    <row r="135" spans="1:15" x14ac:dyDescent="0.35">
      <c r="A135">
        <v>1134</v>
      </c>
      <c r="B135">
        <v>45696</v>
      </c>
      <c r="C135" t="s">
        <v>12</v>
      </c>
      <c r="D135" t="s">
        <v>20</v>
      </c>
      <c r="E135" t="s">
        <v>10</v>
      </c>
      <c r="F135" t="s">
        <v>11</v>
      </c>
      <c r="G135">
        <v>1</v>
      </c>
      <c r="H135">
        <v>60000</v>
      </c>
      <c r="I135">
        <f t="shared" si="9"/>
        <v>54000</v>
      </c>
      <c r="J135" s="4">
        <v>0</v>
      </c>
      <c r="K135">
        <f t="shared" si="10"/>
        <v>60000</v>
      </c>
      <c r="L135" t="s">
        <v>44</v>
      </c>
      <c r="M135">
        <f t="shared" si="11"/>
        <v>0</v>
      </c>
      <c r="N135">
        <f t="shared" si="12"/>
        <v>6000</v>
      </c>
      <c r="O135" s="6">
        <f t="shared" si="13"/>
        <v>0.1</v>
      </c>
    </row>
    <row r="136" spans="1:15" x14ac:dyDescent="0.35">
      <c r="A136">
        <v>1135</v>
      </c>
      <c r="B136">
        <v>45698</v>
      </c>
      <c r="C136" t="s">
        <v>16</v>
      </c>
      <c r="D136" t="s">
        <v>33</v>
      </c>
      <c r="E136" t="s">
        <v>14</v>
      </c>
      <c r="F136" t="s">
        <v>23</v>
      </c>
      <c r="G136">
        <v>1</v>
      </c>
      <c r="H136">
        <v>45000</v>
      </c>
      <c r="I136">
        <f t="shared" si="9"/>
        <v>40500</v>
      </c>
      <c r="J136" s="4">
        <v>5</v>
      </c>
      <c r="K136">
        <f t="shared" si="10"/>
        <v>45000</v>
      </c>
      <c r="L136" t="s">
        <v>44</v>
      </c>
      <c r="M136">
        <f t="shared" si="11"/>
        <v>2250</v>
      </c>
      <c r="N136">
        <f t="shared" si="12"/>
        <v>2250</v>
      </c>
      <c r="O136" s="6">
        <f t="shared" si="13"/>
        <v>0.05</v>
      </c>
    </row>
    <row r="137" spans="1:15" x14ac:dyDescent="0.35">
      <c r="A137">
        <v>1136</v>
      </c>
      <c r="B137">
        <v>45700</v>
      </c>
      <c r="C137" t="s">
        <v>19</v>
      </c>
      <c r="D137" t="s">
        <v>9</v>
      </c>
      <c r="E137" t="s">
        <v>10</v>
      </c>
      <c r="F137" t="s">
        <v>25</v>
      </c>
      <c r="G137">
        <v>4</v>
      </c>
      <c r="H137">
        <v>800</v>
      </c>
      <c r="I137">
        <f t="shared" si="9"/>
        <v>720</v>
      </c>
      <c r="J137" s="4">
        <v>10</v>
      </c>
      <c r="K137">
        <f t="shared" si="10"/>
        <v>3200</v>
      </c>
      <c r="L137" t="s">
        <v>44</v>
      </c>
      <c r="M137">
        <f t="shared" si="11"/>
        <v>320</v>
      </c>
      <c r="N137">
        <f t="shared" si="12"/>
        <v>0</v>
      </c>
      <c r="O137" s="6">
        <f t="shared" si="13"/>
        <v>0</v>
      </c>
    </row>
    <row r="138" spans="1:15" x14ac:dyDescent="0.35">
      <c r="A138">
        <v>1137</v>
      </c>
      <c r="B138">
        <v>45703</v>
      </c>
      <c r="C138" t="s">
        <v>8</v>
      </c>
      <c r="D138" t="s">
        <v>24</v>
      </c>
      <c r="E138" t="s">
        <v>21</v>
      </c>
      <c r="F138" t="s">
        <v>26</v>
      </c>
      <c r="G138">
        <v>2</v>
      </c>
      <c r="H138">
        <v>21000</v>
      </c>
      <c r="I138">
        <f t="shared" si="9"/>
        <v>18900</v>
      </c>
      <c r="J138" s="4">
        <v>0</v>
      </c>
      <c r="K138">
        <f t="shared" si="10"/>
        <v>42000</v>
      </c>
      <c r="L138" t="s">
        <v>44</v>
      </c>
      <c r="M138">
        <f t="shared" si="11"/>
        <v>0</v>
      </c>
      <c r="N138">
        <f t="shared" si="12"/>
        <v>4200</v>
      </c>
      <c r="O138" s="6">
        <f t="shared" si="13"/>
        <v>0.1</v>
      </c>
    </row>
    <row r="139" spans="1:15" x14ac:dyDescent="0.35">
      <c r="A139">
        <v>1138</v>
      </c>
      <c r="B139">
        <v>45706</v>
      </c>
      <c r="C139" t="s">
        <v>12</v>
      </c>
      <c r="D139" t="s">
        <v>27</v>
      </c>
      <c r="E139" t="s">
        <v>14</v>
      </c>
      <c r="F139" t="s">
        <v>29</v>
      </c>
      <c r="G139">
        <v>1</v>
      </c>
      <c r="H139">
        <v>3500</v>
      </c>
      <c r="I139">
        <f t="shared" si="9"/>
        <v>3150</v>
      </c>
      <c r="J139" s="4">
        <v>0</v>
      </c>
      <c r="K139">
        <f t="shared" si="10"/>
        <v>3500</v>
      </c>
      <c r="L139" t="s">
        <v>44</v>
      </c>
      <c r="M139">
        <f t="shared" si="11"/>
        <v>0</v>
      </c>
      <c r="N139">
        <f t="shared" si="12"/>
        <v>350</v>
      </c>
      <c r="O139" s="6">
        <f t="shared" si="13"/>
        <v>0.1</v>
      </c>
    </row>
    <row r="140" spans="1:15" x14ac:dyDescent="0.35">
      <c r="A140">
        <v>1139</v>
      </c>
      <c r="B140">
        <v>45708</v>
      </c>
      <c r="C140" t="s">
        <v>16</v>
      </c>
      <c r="D140" t="s">
        <v>28</v>
      </c>
      <c r="E140" t="s">
        <v>10</v>
      </c>
      <c r="F140" t="s">
        <v>11</v>
      </c>
      <c r="G140">
        <v>1</v>
      </c>
      <c r="H140">
        <v>2600</v>
      </c>
      <c r="I140">
        <f t="shared" si="9"/>
        <v>2340</v>
      </c>
      <c r="J140" s="4">
        <v>5</v>
      </c>
      <c r="K140">
        <f t="shared" si="10"/>
        <v>2600</v>
      </c>
      <c r="L140" t="s">
        <v>44</v>
      </c>
      <c r="M140">
        <f t="shared" si="11"/>
        <v>130</v>
      </c>
      <c r="N140">
        <f t="shared" si="12"/>
        <v>130</v>
      </c>
      <c r="O140" s="6">
        <f t="shared" si="13"/>
        <v>0.05</v>
      </c>
    </row>
    <row r="141" spans="1:15" x14ac:dyDescent="0.35">
      <c r="A141">
        <v>1140</v>
      </c>
      <c r="B141">
        <v>45710</v>
      </c>
      <c r="C141" t="s">
        <v>19</v>
      </c>
      <c r="D141" t="s">
        <v>31</v>
      </c>
      <c r="E141" t="s">
        <v>21</v>
      </c>
      <c r="F141" t="s">
        <v>30</v>
      </c>
      <c r="G141">
        <v>5</v>
      </c>
      <c r="H141">
        <v>58000</v>
      </c>
      <c r="I141">
        <f t="shared" si="9"/>
        <v>52200</v>
      </c>
      <c r="J141" s="4">
        <v>0</v>
      </c>
      <c r="K141">
        <f t="shared" si="10"/>
        <v>290000</v>
      </c>
      <c r="L141" t="s">
        <v>44</v>
      </c>
      <c r="M141">
        <f t="shared" si="11"/>
        <v>0</v>
      </c>
      <c r="N141">
        <f t="shared" si="12"/>
        <v>29000</v>
      </c>
      <c r="O141" s="6">
        <f t="shared" si="13"/>
        <v>0.1</v>
      </c>
    </row>
    <row r="142" spans="1:15" x14ac:dyDescent="0.35">
      <c r="A142">
        <v>1141</v>
      </c>
      <c r="B142">
        <v>45660</v>
      </c>
      <c r="C142" t="s">
        <v>8</v>
      </c>
      <c r="D142" t="s">
        <v>9</v>
      </c>
      <c r="E142" t="s">
        <v>10</v>
      </c>
      <c r="F142" t="s">
        <v>11</v>
      </c>
      <c r="G142">
        <v>2</v>
      </c>
      <c r="H142">
        <v>11000</v>
      </c>
      <c r="I142">
        <f t="shared" si="9"/>
        <v>9900</v>
      </c>
      <c r="J142" s="4">
        <v>10</v>
      </c>
      <c r="K142">
        <f t="shared" si="10"/>
        <v>22000</v>
      </c>
      <c r="L142" t="s">
        <v>43</v>
      </c>
      <c r="M142">
        <f t="shared" si="11"/>
        <v>2200</v>
      </c>
      <c r="N142">
        <f t="shared" si="12"/>
        <v>0</v>
      </c>
      <c r="O142" s="6">
        <f t="shared" si="13"/>
        <v>0</v>
      </c>
    </row>
    <row r="143" spans="1:15" x14ac:dyDescent="0.35">
      <c r="A143">
        <v>1142</v>
      </c>
      <c r="B143">
        <v>45662</v>
      </c>
      <c r="C143" t="s">
        <v>12</v>
      </c>
      <c r="D143" t="s">
        <v>13</v>
      </c>
      <c r="E143" t="s">
        <v>14</v>
      </c>
      <c r="F143" t="s">
        <v>15</v>
      </c>
      <c r="G143">
        <v>5</v>
      </c>
      <c r="H143">
        <v>2200</v>
      </c>
      <c r="I143">
        <f t="shared" si="9"/>
        <v>1980</v>
      </c>
      <c r="J143" s="4">
        <v>0</v>
      </c>
      <c r="K143">
        <f t="shared" si="10"/>
        <v>11000</v>
      </c>
      <c r="L143" t="s">
        <v>43</v>
      </c>
      <c r="M143">
        <f t="shared" si="11"/>
        <v>0</v>
      </c>
      <c r="N143">
        <f t="shared" si="12"/>
        <v>1100</v>
      </c>
      <c r="O143" s="6">
        <f t="shared" si="13"/>
        <v>0.1</v>
      </c>
    </row>
    <row r="144" spans="1:15" x14ac:dyDescent="0.35">
      <c r="A144">
        <v>1143</v>
      </c>
      <c r="B144">
        <v>45663</v>
      </c>
      <c r="C144" t="s">
        <v>16</v>
      </c>
      <c r="D144" t="s">
        <v>17</v>
      </c>
      <c r="E144" t="s">
        <v>10</v>
      </c>
      <c r="F144" t="s">
        <v>18</v>
      </c>
      <c r="G144">
        <v>3</v>
      </c>
      <c r="H144">
        <v>3200</v>
      </c>
      <c r="I144">
        <f t="shared" si="9"/>
        <v>2880</v>
      </c>
      <c r="J144" s="4">
        <v>5</v>
      </c>
      <c r="K144">
        <f t="shared" si="10"/>
        <v>9600</v>
      </c>
      <c r="L144" t="s">
        <v>43</v>
      </c>
      <c r="M144">
        <f t="shared" si="11"/>
        <v>480</v>
      </c>
      <c r="N144">
        <f t="shared" si="12"/>
        <v>480</v>
      </c>
      <c r="O144" s="6">
        <f t="shared" si="13"/>
        <v>0.05</v>
      </c>
    </row>
    <row r="145" spans="1:15" x14ac:dyDescent="0.35">
      <c r="A145">
        <v>1144</v>
      </c>
      <c r="B145">
        <v>45664</v>
      </c>
      <c r="C145" t="s">
        <v>19</v>
      </c>
      <c r="D145" t="s">
        <v>20</v>
      </c>
      <c r="E145" t="s">
        <v>21</v>
      </c>
      <c r="F145" t="s">
        <v>22</v>
      </c>
      <c r="G145">
        <v>4</v>
      </c>
      <c r="H145">
        <v>47000</v>
      </c>
      <c r="I145">
        <f t="shared" si="9"/>
        <v>42300</v>
      </c>
      <c r="J145" s="4">
        <v>0</v>
      </c>
      <c r="K145">
        <f t="shared" si="10"/>
        <v>188000</v>
      </c>
      <c r="L145" t="s">
        <v>43</v>
      </c>
      <c r="M145">
        <f t="shared" si="11"/>
        <v>0</v>
      </c>
      <c r="N145">
        <f t="shared" si="12"/>
        <v>18800</v>
      </c>
      <c r="O145" s="6">
        <f t="shared" si="13"/>
        <v>0.1</v>
      </c>
    </row>
    <row r="146" spans="1:15" x14ac:dyDescent="0.35">
      <c r="A146">
        <v>1145</v>
      </c>
      <c r="B146">
        <v>45667</v>
      </c>
      <c r="C146" t="s">
        <v>8</v>
      </c>
      <c r="D146" t="s">
        <v>13</v>
      </c>
      <c r="E146" t="s">
        <v>14</v>
      </c>
      <c r="F146" t="s">
        <v>23</v>
      </c>
      <c r="G146">
        <v>2</v>
      </c>
      <c r="H146">
        <v>59000</v>
      </c>
      <c r="I146">
        <f t="shared" si="9"/>
        <v>53100</v>
      </c>
      <c r="J146" s="4">
        <v>0</v>
      </c>
      <c r="K146">
        <f t="shared" si="10"/>
        <v>118000</v>
      </c>
      <c r="L146" t="s">
        <v>43</v>
      </c>
      <c r="M146">
        <f t="shared" si="11"/>
        <v>0</v>
      </c>
      <c r="N146">
        <f t="shared" si="12"/>
        <v>11800</v>
      </c>
      <c r="O146" s="6">
        <f t="shared" si="13"/>
        <v>0.1</v>
      </c>
    </row>
    <row r="147" spans="1:15" x14ac:dyDescent="0.35">
      <c r="A147">
        <v>1146</v>
      </c>
      <c r="B147">
        <v>45668</v>
      </c>
      <c r="C147" t="s">
        <v>12</v>
      </c>
      <c r="D147" t="s">
        <v>24</v>
      </c>
      <c r="E147" t="s">
        <v>10</v>
      </c>
      <c r="F147" t="s">
        <v>25</v>
      </c>
      <c r="G147">
        <v>6</v>
      </c>
      <c r="H147">
        <v>850</v>
      </c>
      <c r="I147">
        <f t="shared" si="9"/>
        <v>765</v>
      </c>
      <c r="J147" s="4">
        <v>7</v>
      </c>
      <c r="K147">
        <f t="shared" si="10"/>
        <v>5100</v>
      </c>
      <c r="L147" t="s">
        <v>43</v>
      </c>
      <c r="M147">
        <f t="shared" si="11"/>
        <v>357.00000000000006</v>
      </c>
      <c r="N147">
        <f t="shared" si="12"/>
        <v>152.99999999999994</v>
      </c>
      <c r="O147" s="6">
        <f t="shared" si="13"/>
        <v>2.9999999999999988E-2</v>
      </c>
    </row>
    <row r="148" spans="1:15" x14ac:dyDescent="0.35">
      <c r="A148">
        <v>1147</v>
      </c>
      <c r="B148">
        <v>45670</v>
      </c>
      <c r="C148" t="s">
        <v>16</v>
      </c>
      <c r="D148" t="s">
        <v>9</v>
      </c>
      <c r="E148" t="s">
        <v>21</v>
      </c>
      <c r="F148" t="s">
        <v>26</v>
      </c>
      <c r="G148">
        <v>3</v>
      </c>
      <c r="H148">
        <v>3500</v>
      </c>
      <c r="I148">
        <f t="shared" si="9"/>
        <v>3150</v>
      </c>
      <c r="J148" s="4">
        <v>5</v>
      </c>
      <c r="K148">
        <f t="shared" si="10"/>
        <v>10500</v>
      </c>
      <c r="L148" t="s">
        <v>43</v>
      </c>
      <c r="M148">
        <f t="shared" si="11"/>
        <v>525</v>
      </c>
      <c r="N148">
        <f t="shared" si="12"/>
        <v>525</v>
      </c>
      <c r="O148" s="6">
        <f t="shared" si="13"/>
        <v>0.05</v>
      </c>
    </row>
    <row r="149" spans="1:15" x14ac:dyDescent="0.35">
      <c r="A149">
        <v>1148</v>
      </c>
      <c r="B149">
        <v>45672</v>
      </c>
      <c r="C149" t="s">
        <v>19</v>
      </c>
      <c r="D149" t="s">
        <v>27</v>
      </c>
      <c r="E149" t="s">
        <v>10</v>
      </c>
      <c r="F149" t="s">
        <v>11</v>
      </c>
      <c r="G149">
        <v>1</v>
      </c>
      <c r="H149">
        <v>2600</v>
      </c>
      <c r="I149">
        <f t="shared" si="9"/>
        <v>2340</v>
      </c>
      <c r="J149" s="4">
        <v>0</v>
      </c>
      <c r="K149">
        <f t="shared" si="10"/>
        <v>2600</v>
      </c>
      <c r="L149" t="s">
        <v>43</v>
      </c>
      <c r="M149">
        <f t="shared" si="11"/>
        <v>0</v>
      </c>
      <c r="N149">
        <f t="shared" si="12"/>
        <v>260</v>
      </c>
      <c r="O149" s="6">
        <f t="shared" si="13"/>
        <v>0.1</v>
      </c>
    </row>
    <row r="150" spans="1:15" x14ac:dyDescent="0.35">
      <c r="A150">
        <v>1149</v>
      </c>
      <c r="B150">
        <v>45675</v>
      </c>
      <c r="C150" t="s">
        <v>8</v>
      </c>
      <c r="D150" t="s">
        <v>28</v>
      </c>
      <c r="E150" t="s">
        <v>14</v>
      </c>
      <c r="F150" t="s">
        <v>29</v>
      </c>
      <c r="G150">
        <v>1</v>
      </c>
      <c r="H150">
        <v>58000</v>
      </c>
      <c r="I150">
        <f t="shared" si="9"/>
        <v>52200</v>
      </c>
      <c r="J150" s="4">
        <v>8</v>
      </c>
      <c r="K150">
        <f t="shared" si="10"/>
        <v>58000</v>
      </c>
      <c r="L150" t="s">
        <v>43</v>
      </c>
      <c r="M150">
        <f t="shared" si="11"/>
        <v>4640</v>
      </c>
      <c r="N150">
        <f t="shared" si="12"/>
        <v>1160</v>
      </c>
      <c r="O150" s="6">
        <f t="shared" si="13"/>
        <v>0.02</v>
      </c>
    </row>
    <row r="151" spans="1:15" x14ac:dyDescent="0.35">
      <c r="A151">
        <v>1150</v>
      </c>
      <c r="B151">
        <v>45677</v>
      </c>
      <c r="C151" t="s">
        <v>12</v>
      </c>
      <c r="D151" t="s">
        <v>17</v>
      </c>
      <c r="E151" t="s">
        <v>21</v>
      </c>
      <c r="F151" t="s">
        <v>30</v>
      </c>
      <c r="G151">
        <v>10</v>
      </c>
      <c r="H151">
        <v>11000</v>
      </c>
      <c r="I151">
        <f t="shared" ref="I151:I214" si="14">H151*90%</f>
        <v>9900</v>
      </c>
      <c r="J151" s="4">
        <v>0</v>
      </c>
      <c r="K151">
        <f t="shared" si="10"/>
        <v>110000</v>
      </c>
      <c r="L151" t="s">
        <v>43</v>
      </c>
      <c r="M151">
        <f t="shared" si="11"/>
        <v>0</v>
      </c>
      <c r="N151">
        <f t="shared" si="12"/>
        <v>11000</v>
      </c>
      <c r="O151" s="6">
        <f t="shared" si="13"/>
        <v>0.1</v>
      </c>
    </row>
    <row r="152" spans="1:15" x14ac:dyDescent="0.35">
      <c r="A152">
        <v>1151</v>
      </c>
      <c r="B152">
        <v>45690</v>
      </c>
      <c r="C152" t="s">
        <v>16</v>
      </c>
      <c r="D152" t="s">
        <v>31</v>
      </c>
      <c r="E152" t="s">
        <v>10</v>
      </c>
      <c r="F152" t="s">
        <v>18</v>
      </c>
      <c r="G152">
        <v>2</v>
      </c>
      <c r="H152">
        <v>2200</v>
      </c>
      <c r="I152">
        <f t="shared" si="14"/>
        <v>1980</v>
      </c>
      <c r="J152" s="4">
        <v>0</v>
      </c>
      <c r="K152">
        <f t="shared" si="10"/>
        <v>4400</v>
      </c>
      <c r="L152" t="s">
        <v>44</v>
      </c>
      <c r="M152">
        <f t="shared" si="11"/>
        <v>0</v>
      </c>
      <c r="N152">
        <f t="shared" si="12"/>
        <v>440</v>
      </c>
      <c r="O152" s="6">
        <f t="shared" si="13"/>
        <v>0.1</v>
      </c>
    </row>
    <row r="153" spans="1:15" x14ac:dyDescent="0.35">
      <c r="A153">
        <v>1152</v>
      </c>
      <c r="B153">
        <v>45692</v>
      </c>
      <c r="C153" t="s">
        <v>19</v>
      </c>
      <c r="D153" t="s">
        <v>13</v>
      </c>
      <c r="E153" t="s">
        <v>14</v>
      </c>
      <c r="F153" t="s">
        <v>15</v>
      </c>
      <c r="G153">
        <v>3</v>
      </c>
      <c r="H153">
        <v>3200</v>
      </c>
      <c r="I153">
        <f t="shared" si="14"/>
        <v>2880</v>
      </c>
      <c r="J153" s="4">
        <v>5</v>
      </c>
      <c r="K153">
        <f t="shared" si="10"/>
        <v>9600</v>
      </c>
      <c r="L153" t="s">
        <v>44</v>
      </c>
      <c r="M153">
        <f t="shared" si="11"/>
        <v>480</v>
      </c>
      <c r="N153">
        <f t="shared" si="12"/>
        <v>480</v>
      </c>
      <c r="O153" s="6">
        <f t="shared" si="13"/>
        <v>0.05</v>
      </c>
    </row>
    <row r="154" spans="1:15" x14ac:dyDescent="0.35">
      <c r="A154">
        <v>1153</v>
      </c>
      <c r="B154">
        <v>45694</v>
      </c>
      <c r="C154" t="s">
        <v>8</v>
      </c>
      <c r="D154" t="s">
        <v>32</v>
      </c>
      <c r="E154" t="s">
        <v>21</v>
      </c>
      <c r="F154" t="s">
        <v>22</v>
      </c>
      <c r="G154">
        <v>2</v>
      </c>
      <c r="H154">
        <v>47000</v>
      </c>
      <c r="I154">
        <f t="shared" si="14"/>
        <v>42300</v>
      </c>
      <c r="J154" s="4">
        <v>0</v>
      </c>
      <c r="K154">
        <f t="shared" si="10"/>
        <v>94000</v>
      </c>
      <c r="L154" t="s">
        <v>44</v>
      </c>
      <c r="M154">
        <f t="shared" si="11"/>
        <v>0</v>
      </c>
      <c r="N154">
        <f t="shared" si="12"/>
        <v>9400</v>
      </c>
      <c r="O154" s="6">
        <f t="shared" si="13"/>
        <v>0.1</v>
      </c>
    </row>
    <row r="155" spans="1:15" x14ac:dyDescent="0.35">
      <c r="A155">
        <v>1154</v>
      </c>
      <c r="B155">
        <v>45696</v>
      </c>
      <c r="C155" t="s">
        <v>12</v>
      </c>
      <c r="D155" t="s">
        <v>20</v>
      </c>
      <c r="E155" t="s">
        <v>10</v>
      </c>
      <c r="F155" t="s">
        <v>11</v>
      </c>
      <c r="G155">
        <v>1</v>
      </c>
      <c r="H155">
        <v>59000</v>
      </c>
      <c r="I155">
        <f t="shared" si="14"/>
        <v>53100</v>
      </c>
      <c r="J155" s="4">
        <v>0</v>
      </c>
      <c r="K155">
        <f t="shared" si="10"/>
        <v>59000</v>
      </c>
      <c r="L155" t="s">
        <v>44</v>
      </c>
      <c r="M155">
        <f t="shared" si="11"/>
        <v>0</v>
      </c>
      <c r="N155">
        <f t="shared" si="12"/>
        <v>5900</v>
      </c>
      <c r="O155" s="6">
        <f t="shared" si="13"/>
        <v>0.1</v>
      </c>
    </row>
    <row r="156" spans="1:15" x14ac:dyDescent="0.35">
      <c r="A156">
        <v>1155</v>
      </c>
      <c r="B156">
        <v>45698</v>
      </c>
      <c r="C156" t="s">
        <v>16</v>
      </c>
      <c r="D156" t="s">
        <v>33</v>
      </c>
      <c r="E156" t="s">
        <v>14</v>
      </c>
      <c r="F156" t="s">
        <v>23</v>
      </c>
      <c r="G156">
        <v>1</v>
      </c>
      <c r="H156">
        <v>850</v>
      </c>
      <c r="I156">
        <f t="shared" si="14"/>
        <v>765</v>
      </c>
      <c r="J156" s="4">
        <v>5</v>
      </c>
      <c r="K156">
        <f t="shared" si="10"/>
        <v>850</v>
      </c>
      <c r="L156" t="s">
        <v>44</v>
      </c>
      <c r="M156">
        <f t="shared" si="11"/>
        <v>42.5</v>
      </c>
      <c r="N156">
        <f t="shared" si="12"/>
        <v>42.5</v>
      </c>
      <c r="O156" s="6">
        <f t="shared" si="13"/>
        <v>0.05</v>
      </c>
    </row>
    <row r="157" spans="1:15" x14ac:dyDescent="0.35">
      <c r="A157">
        <v>1156</v>
      </c>
      <c r="B157">
        <v>45700</v>
      </c>
      <c r="C157" t="s">
        <v>19</v>
      </c>
      <c r="D157" t="s">
        <v>9</v>
      </c>
      <c r="E157" t="s">
        <v>10</v>
      </c>
      <c r="F157" t="s">
        <v>25</v>
      </c>
      <c r="G157">
        <v>4</v>
      </c>
      <c r="H157">
        <v>2500</v>
      </c>
      <c r="I157">
        <f t="shared" si="14"/>
        <v>2250</v>
      </c>
      <c r="J157" s="4">
        <v>8</v>
      </c>
      <c r="K157">
        <f t="shared" si="10"/>
        <v>10000</v>
      </c>
      <c r="L157" t="s">
        <v>44</v>
      </c>
      <c r="M157">
        <f t="shared" si="11"/>
        <v>800</v>
      </c>
      <c r="N157">
        <f t="shared" si="12"/>
        <v>200</v>
      </c>
      <c r="O157" s="6">
        <f t="shared" si="13"/>
        <v>0.02</v>
      </c>
    </row>
    <row r="158" spans="1:15" x14ac:dyDescent="0.35">
      <c r="A158">
        <v>1157</v>
      </c>
      <c r="B158">
        <v>45703</v>
      </c>
      <c r="C158" t="s">
        <v>8</v>
      </c>
      <c r="D158" t="s">
        <v>24</v>
      </c>
      <c r="E158" t="s">
        <v>21</v>
      </c>
      <c r="F158" t="s">
        <v>26</v>
      </c>
      <c r="G158">
        <v>2</v>
      </c>
      <c r="H158">
        <v>12000</v>
      </c>
      <c r="I158">
        <f t="shared" si="14"/>
        <v>10800</v>
      </c>
      <c r="J158" s="4">
        <v>0</v>
      </c>
      <c r="K158">
        <f t="shared" si="10"/>
        <v>24000</v>
      </c>
      <c r="L158" t="s">
        <v>44</v>
      </c>
      <c r="M158">
        <f t="shared" si="11"/>
        <v>0</v>
      </c>
      <c r="N158">
        <f t="shared" si="12"/>
        <v>2400</v>
      </c>
      <c r="O158" s="6">
        <f t="shared" si="13"/>
        <v>0.1</v>
      </c>
    </row>
    <row r="159" spans="1:15" x14ac:dyDescent="0.35">
      <c r="A159">
        <v>1158</v>
      </c>
      <c r="B159">
        <v>45706</v>
      </c>
      <c r="C159" t="s">
        <v>12</v>
      </c>
      <c r="D159" t="s">
        <v>27</v>
      </c>
      <c r="E159" t="s">
        <v>14</v>
      </c>
      <c r="F159" t="s">
        <v>29</v>
      </c>
      <c r="G159">
        <v>1</v>
      </c>
      <c r="H159">
        <v>2000</v>
      </c>
      <c r="I159">
        <f t="shared" si="14"/>
        <v>1800</v>
      </c>
      <c r="J159" s="4">
        <v>0</v>
      </c>
      <c r="K159">
        <f t="shared" si="10"/>
        <v>2000</v>
      </c>
      <c r="L159" t="s">
        <v>44</v>
      </c>
      <c r="M159">
        <f t="shared" si="11"/>
        <v>0</v>
      </c>
      <c r="N159">
        <f t="shared" si="12"/>
        <v>200</v>
      </c>
      <c r="O159" s="6">
        <f t="shared" si="13"/>
        <v>0.1</v>
      </c>
    </row>
    <row r="160" spans="1:15" x14ac:dyDescent="0.35">
      <c r="A160">
        <v>1159</v>
      </c>
      <c r="B160">
        <v>45708</v>
      </c>
      <c r="C160" t="s">
        <v>16</v>
      </c>
      <c r="D160" t="s">
        <v>28</v>
      </c>
      <c r="E160" t="s">
        <v>10</v>
      </c>
      <c r="F160" t="s">
        <v>11</v>
      </c>
      <c r="G160">
        <v>1</v>
      </c>
      <c r="H160">
        <v>3000</v>
      </c>
      <c r="I160">
        <f t="shared" si="14"/>
        <v>2700</v>
      </c>
      <c r="J160" s="4">
        <v>5</v>
      </c>
      <c r="K160">
        <f t="shared" si="10"/>
        <v>3000</v>
      </c>
      <c r="L160" t="s">
        <v>44</v>
      </c>
      <c r="M160">
        <f t="shared" si="11"/>
        <v>150</v>
      </c>
      <c r="N160">
        <f t="shared" si="12"/>
        <v>150</v>
      </c>
      <c r="O160" s="6">
        <f t="shared" si="13"/>
        <v>0.05</v>
      </c>
    </row>
    <row r="161" spans="1:15" x14ac:dyDescent="0.35">
      <c r="A161">
        <v>1160</v>
      </c>
      <c r="B161">
        <v>45710</v>
      </c>
      <c r="C161" t="s">
        <v>19</v>
      </c>
      <c r="D161" t="s">
        <v>31</v>
      </c>
      <c r="E161" t="s">
        <v>21</v>
      </c>
      <c r="F161" t="s">
        <v>30</v>
      </c>
      <c r="G161">
        <v>5</v>
      </c>
      <c r="H161">
        <v>60000</v>
      </c>
      <c r="I161">
        <f t="shared" si="14"/>
        <v>54000</v>
      </c>
      <c r="J161" s="4">
        <v>0</v>
      </c>
      <c r="K161">
        <f t="shared" si="10"/>
        <v>300000</v>
      </c>
      <c r="L161" t="s">
        <v>44</v>
      </c>
      <c r="M161">
        <f t="shared" si="11"/>
        <v>0</v>
      </c>
      <c r="N161">
        <f t="shared" si="12"/>
        <v>30000</v>
      </c>
      <c r="O161" s="6">
        <f t="shared" si="13"/>
        <v>0.1</v>
      </c>
    </row>
    <row r="162" spans="1:15" x14ac:dyDescent="0.35">
      <c r="A162">
        <v>1161</v>
      </c>
      <c r="B162">
        <v>45660</v>
      </c>
      <c r="C162" t="s">
        <v>8</v>
      </c>
      <c r="D162" t="s">
        <v>9</v>
      </c>
      <c r="E162" t="s">
        <v>10</v>
      </c>
      <c r="F162" t="s">
        <v>11</v>
      </c>
      <c r="G162">
        <v>2</v>
      </c>
      <c r="H162">
        <v>45000</v>
      </c>
      <c r="I162">
        <f t="shared" si="14"/>
        <v>40500</v>
      </c>
      <c r="J162" s="4">
        <v>10</v>
      </c>
      <c r="K162">
        <f t="shared" si="10"/>
        <v>90000</v>
      </c>
      <c r="L162" t="s">
        <v>43</v>
      </c>
      <c r="M162">
        <f t="shared" si="11"/>
        <v>9000</v>
      </c>
      <c r="N162">
        <f t="shared" si="12"/>
        <v>0</v>
      </c>
      <c r="O162" s="6">
        <f t="shared" si="13"/>
        <v>0</v>
      </c>
    </row>
    <row r="163" spans="1:15" x14ac:dyDescent="0.35">
      <c r="A163">
        <v>1162</v>
      </c>
      <c r="B163">
        <v>45662</v>
      </c>
      <c r="C163" t="s">
        <v>12</v>
      </c>
      <c r="D163" t="s">
        <v>13</v>
      </c>
      <c r="E163" t="s">
        <v>14</v>
      </c>
      <c r="F163" t="s">
        <v>15</v>
      </c>
      <c r="G163">
        <v>5</v>
      </c>
      <c r="H163">
        <v>800</v>
      </c>
      <c r="I163">
        <f t="shared" si="14"/>
        <v>720</v>
      </c>
      <c r="J163" s="4">
        <v>0</v>
      </c>
      <c r="K163">
        <f t="shared" si="10"/>
        <v>4000</v>
      </c>
      <c r="L163" t="s">
        <v>43</v>
      </c>
      <c r="M163">
        <f t="shared" si="11"/>
        <v>0</v>
      </c>
      <c r="N163">
        <f t="shared" si="12"/>
        <v>400</v>
      </c>
      <c r="O163" s="6">
        <f t="shared" si="13"/>
        <v>0.1</v>
      </c>
    </row>
    <row r="164" spans="1:15" x14ac:dyDescent="0.35">
      <c r="A164">
        <v>1163</v>
      </c>
      <c r="B164">
        <v>45663</v>
      </c>
      <c r="C164" t="s">
        <v>16</v>
      </c>
      <c r="D164" t="s">
        <v>17</v>
      </c>
      <c r="E164" t="s">
        <v>10</v>
      </c>
      <c r="F164" t="s">
        <v>18</v>
      </c>
      <c r="G164">
        <v>3</v>
      </c>
      <c r="H164">
        <v>21000</v>
      </c>
      <c r="I164">
        <f t="shared" si="14"/>
        <v>18900</v>
      </c>
      <c r="J164" s="4">
        <v>5</v>
      </c>
      <c r="K164">
        <f t="shared" si="10"/>
        <v>63000</v>
      </c>
      <c r="L164" t="s">
        <v>43</v>
      </c>
      <c r="M164">
        <f t="shared" si="11"/>
        <v>3150</v>
      </c>
      <c r="N164">
        <f t="shared" si="12"/>
        <v>3150</v>
      </c>
      <c r="O164" s="6">
        <f t="shared" si="13"/>
        <v>0.05</v>
      </c>
    </row>
    <row r="165" spans="1:15" x14ac:dyDescent="0.35">
      <c r="A165">
        <v>1164</v>
      </c>
      <c r="B165">
        <v>45664</v>
      </c>
      <c r="C165" t="s">
        <v>19</v>
      </c>
      <c r="D165" t="s">
        <v>20</v>
      </c>
      <c r="E165" t="s">
        <v>21</v>
      </c>
      <c r="F165" t="s">
        <v>22</v>
      </c>
      <c r="G165">
        <v>4</v>
      </c>
      <c r="H165">
        <v>3500</v>
      </c>
      <c r="I165">
        <f t="shared" si="14"/>
        <v>3150</v>
      </c>
      <c r="J165" s="4">
        <v>0</v>
      </c>
      <c r="K165">
        <f t="shared" si="10"/>
        <v>14000</v>
      </c>
      <c r="L165" t="s">
        <v>43</v>
      </c>
      <c r="M165">
        <f t="shared" si="11"/>
        <v>0</v>
      </c>
      <c r="N165">
        <f t="shared" si="12"/>
        <v>1400</v>
      </c>
      <c r="O165" s="6">
        <f t="shared" si="13"/>
        <v>0.1</v>
      </c>
    </row>
    <row r="166" spans="1:15" x14ac:dyDescent="0.35">
      <c r="A166">
        <v>1165</v>
      </c>
      <c r="B166">
        <v>45667</v>
      </c>
      <c r="C166" t="s">
        <v>8</v>
      </c>
      <c r="D166" t="s">
        <v>13</v>
      </c>
      <c r="E166" t="s">
        <v>14</v>
      </c>
      <c r="F166" t="s">
        <v>23</v>
      </c>
      <c r="G166">
        <v>2</v>
      </c>
      <c r="H166">
        <v>2600</v>
      </c>
      <c r="I166">
        <f t="shared" si="14"/>
        <v>2340</v>
      </c>
      <c r="J166" s="4">
        <v>0</v>
      </c>
      <c r="K166">
        <f t="shared" si="10"/>
        <v>5200</v>
      </c>
      <c r="L166" t="s">
        <v>43</v>
      </c>
      <c r="M166">
        <f t="shared" si="11"/>
        <v>0</v>
      </c>
      <c r="N166">
        <f t="shared" si="12"/>
        <v>520</v>
      </c>
      <c r="O166" s="6">
        <f t="shared" si="13"/>
        <v>0.1</v>
      </c>
    </row>
    <row r="167" spans="1:15" x14ac:dyDescent="0.35">
      <c r="A167">
        <v>1166</v>
      </c>
      <c r="B167">
        <v>45668</v>
      </c>
      <c r="C167" t="s">
        <v>12</v>
      </c>
      <c r="D167" t="s">
        <v>24</v>
      </c>
      <c r="E167" t="s">
        <v>10</v>
      </c>
      <c r="F167" t="s">
        <v>25</v>
      </c>
      <c r="G167">
        <v>6</v>
      </c>
      <c r="H167">
        <v>58000</v>
      </c>
      <c r="I167">
        <f t="shared" si="14"/>
        <v>52200</v>
      </c>
      <c r="J167" s="4">
        <v>3</v>
      </c>
      <c r="K167">
        <f t="shared" si="10"/>
        <v>348000</v>
      </c>
      <c r="L167" t="s">
        <v>43</v>
      </c>
      <c r="M167">
        <f t="shared" si="11"/>
        <v>10440</v>
      </c>
      <c r="N167">
        <f t="shared" si="12"/>
        <v>24360</v>
      </c>
      <c r="O167" s="6">
        <f t="shared" si="13"/>
        <v>7.0000000000000007E-2</v>
      </c>
    </row>
    <row r="168" spans="1:15" x14ac:dyDescent="0.35">
      <c r="A168">
        <v>1167</v>
      </c>
      <c r="B168">
        <v>45670</v>
      </c>
      <c r="C168" t="s">
        <v>16</v>
      </c>
      <c r="D168" t="s">
        <v>9</v>
      </c>
      <c r="E168" t="s">
        <v>21</v>
      </c>
      <c r="F168" t="s">
        <v>26</v>
      </c>
      <c r="G168">
        <v>3</v>
      </c>
      <c r="H168">
        <v>11000</v>
      </c>
      <c r="I168">
        <f t="shared" si="14"/>
        <v>9900</v>
      </c>
      <c r="J168" s="4">
        <v>5</v>
      </c>
      <c r="K168">
        <f t="shared" si="10"/>
        <v>33000</v>
      </c>
      <c r="L168" t="s">
        <v>43</v>
      </c>
      <c r="M168">
        <f t="shared" si="11"/>
        <v>1650</v>
      </c>
      <c r="N168">
        <f t="shared" si="12"/>
        <v>1650</v>
      </c>
      <c r="O168" s="6">
        <f t="shared" si="13"/>
        <v>0.05</v>
      </c>
    </row>
    <row r="169" spans="1:15" x14ac:dyDescent="0.35">
      <c r="A169">
        <v>1168</v>
      </c>
      <c r="B169">
        <v>45672</v>
      </c>
      <c r="C169" t="s">
        <v>19</v>
      </c>
      <c r="D169" t="s">
        <v>27</v>
      </c>
      <c r="E169" t="s">
        <v>10</v>
      </c>
      <c r="F169" t="s">
        <v>11</v>
      </c>
      <c r="G169">
        <v>1</v>
      </c>
      <c r="H169">
        <v>2200</v>
      </c>
      <c r="I169">
        <f t="shared" si="14"/>
        <v>1980</v>
      </c>
      <c r="J169" s="4">
        <v>0</v>
      </c>
      <c r="K169">
        <f t="shared" si="10"/>
        <v>2200</v>
      </c>
      <c r="L169" t="s">
        <v>43</v>
      </c>
      <c r="M169">
        <f t="shared" si="11"/>
        <v>0</v>
      </c>
      <c r="N169">
        <f t="shared" si="12"/>
        <v>220</v>
      </c>
      <c r="O169" s="6">
        <f t="shared" si="13"/>
        <v>0.1</v>
      </c>
    </row>
    <row r="170" spans="1:15" x14ac:dyDescent="0.35">
      <c r="A170">
        <v>1169</v>
      </c>
      <c r="B170">
        <v>45675</v>
      </c>
      <c r="C170" t="s">
        <v>8</v>
      </c>
      <c r="D170" t="s">
        <v>28</v>
      </c>
      <c r="E170" t="s">
        <v>14</v>
      </c>
      <c r="F170" t="s">
        <v>29</v>
      </c>
      <c r="G170">
        <v>1</v>
      </c>
      <c r="H170">
        <v>55000</v>
      </c>
      <c r="I170">
        <f t="shared" si="14"/>
        <v>49500</v>
      </c>
      <c r="J170" s="4">
        <v>9</v>
      </c>
      <c r="K170">
        <f t="shared" si="10"/>
        <v>55000</v>
      </c>
      <c r="L170" t="s">
        <v>43</v>
      </c>
      <c r="M170">
        <f t="shared" si="11"/>
        <v>4950</v>
      </c>
      <c r="N170">
        <f t="shared" si="12"/>
        <v>550</v>
      </c>
      <c r="O170" s="6">
        <f t="shared" si="13"/>
        <v>0.01</v>
      </c>
    </row>
    <row r="171" spans="1:15" x14ac:dyDescent="0.35">
      <c r="A171">
        <v>1170</v>
      </c>
      <c r="B171">
        <v>45677</v>
      </c>
      <c r="C171" t="s">
        <v>12</v>
      </c>
      <c r="D171" t="s">
        <v>17</v>
      </c>
      <c r="E171" t="s">
        <v>21</v>
      </c>
      <c r="F171" t="s">
        <v>30</v>
      </c>
      <c r="G171">
        <v>10</v>
      </c>
      <c r="H171">
        <v>3500</v>
      </c>
      <c r="I171">
        <f t="shared" si="14"/>
        <v>3150</v>
      </c>
      <c r="J171" s="4">
        <v>0</v>
      </c>
      <c r="K171">
        <f t="shared" si="10"/>
        <v>35000</v>
      </c>
      <c r="L171" t="s">
        <v>43</v>
      </c>
      <c r="M171">
        <f t="shared" si="11"/>
        <v>0</v>
      </c>
      <c r="N171">
        <f t="shared" si="12"/>
        <v>3500</v>
      </c>
      <c r="O171" s="6">
        <f t="shared" si="13"/>
        <v>0.1</v>
      </c>
    </row>
    <row r="172" spans="1:15" x14ac:dyDescent="0.35">
      <c r="A172">
        <v>1171</v>
      </c>
      <c r="B172">
        <v>45690</v>
      </c>
      <c r="C172" t="s">
        <v>16</v>
      </c>
      <c r="D172" t="s">
        <v>31</v>
      </c>
      <c r="E172" t="s">
        <v>10</v>
      </c>
      <c r="F172" t="s">
        <v>18</v>
      </c>
      <c r="G172">
        <v>2</v>
      </c>
      <c r="H172">
        <v>22000</v>
      </c>
      <c r="I172">
        <f t="shared" si="14"/>
        <v>19800</v>
      </c>
      <c r="J172" s="4">
        <v>0</v>
      </c>
      <c r="K172">
        <f t="shared" si="10"/>
        <v>44000</v>
      </c>
      <c r="L172" t="s">
        <v>44</v>
      </c>
      <c r="M172">
        <f t="shared" si="11"/>
        <v>0</v>
      </c>
      <c r="N172">
        <f t="shared" si="12"/>
        <v>4400</v>
      </c>
      <c r="O172" s="6">
        <f t="shared" si="13"/>
        <v>0.1</v>
      </c>
    </row>
    <row r="173" spans="1:15" x14ac:dyDescent="0.35">
      <c r="A173">
        <v>1172</v>
      </c>
      <c r="B173">
        <v>45692</v>
      </c>
      <c r="C173" t="s">
        <v>19</v>
      </c>
      <c r="D173" t="s">
        <v>13</v>
      </c>
      <c r="E173" t="s">
        <v>14</v>
      </c>
      <c r="F173" t="s">
        <v>15</v>
      </c>
      <c r="G173">
        <v>3</v>
      </c>
      <c r="H173">
        <v>2500</v>
      </c>
      <c r="I173">
        <f t="shared" si="14"/>
        <v>2250</v>
      </c>
      <c r="J173" s="4">
        <v>5</v>
      </c>
      <c r="K173">
        <f t="shared" si="10"/>
        <v>7500</v>
      </c>
      <c r="L173" t="s">
        <v>44</v>
      </c>
      <c r="M173">
        <f t="shared" si="11"/>
        <v>375</v>
      </c>
      <c r="N173">
        <f t="shared" si="12"/>
        <v>375</v>
      </c>
      <c r="O173" s="6">
        <f t="shared" si="13"/>
        <v>0.05</v>
      </c>
    </row>
    <row r="174" spans="1:15" x14ac:dyDescent="0.35">
      <c r="A174">
        <v>1173</v>
      </c>
      <c r="B174">
        <v>45694</v>
      </c>
      <c r="C174" t="s">
        <v>8</v>
      </c>
      <c r="D174" t="s">
        <v>32</v>
      </c>
      <c r="E174" t="s">
        <v>21</v>
      </c>
      <c r="F174" t="s">
        <v>22</v>
      </c>
      <c r="G174">
        <v>2</v>
      </c>
      <c r="H174">
        <v>12000</v>
      </c>
      <c r="I174">
        <f t="shared" si="14"/>
        <v>10800</v>
      </c>
      <c r="J174" s="4">
        <v>0</v>
      </c>
      <c r="K174">
        <f t="shared" si="10"/>
        <v>24000</v>
      </c>
      <c r="L174" t="s">
        <v>44</v>
      </c>
      <c r="M174">
        <f t="shared" si="11"/>
        <v>0</v>
      </c>
      <c r="N174">
        <f t="shared" si="12"/>
        <v>2400</v>
      </c>
      <c r="O174" s="6">
        <f t="shared" si="13"/>
        <v>0.1</v>
      </c>
    </row>
    <row r="175" spans="1:15" x14ac:dyDescent="0.35">
      <c r="A175">
        <v>1174</v>
      </c>
      <c r="B175">
        <v>45696</v>
      </c>
      <c r="C175" t="s">
        <v>12</v>
      </c>
      <c r="D175" t="s">
        <v>20</v>
      </c>
      <c r="E175" t="s">
        <v>10</v>
      </c>
      <c r="F175" t="s">
        <v>11</v>
      </c>
      <c r="G175">
        <v>1</v>
      </c>
      <c r="H175">
        <v>2000</v>
      </c>
      <c r="I175">
        <f t="shared" si="14"/>
        <v>1800</v>
      </c>
      <c r="J175" s="4">
        <v>0</v>
      </c>
      <c r="K175">
        <f t="shared" si="10"/>
        <v>2000</v>
      </c>
      <c r="L175" t="s">
        <v>44</v>
      </c>
      <c r="M175">
        <f t="shared" si="11"/>
        <v>0</v>
      </c>
      <c r="N175">
        <f t="shared" si="12"/>
        <v>200</v>
      </c>
      <c r="O175" s="6">
        <f t="shared" si="13"/>
        <v>0.1</v>
      </c>
    </row>
    <row r="176" spans="1:15" x14ac:dyDescent="0.35">
      <c r="A176">
        <v>1175</v>
      </c>
      <c r="B176">
        <v>45698</v>
      </c>
      <c r="C176" t="s">
        <v>16</v>
      </c>
      <c r="D176" t="s">
        <v>33</v>
      </c>
      <c r="E176" t="s">
        <v>14</v>
      </c>
      <c r="F176" t="s">
        <v>23</v>
      </c>
      <c r="G176">
        <v>1</v>
      </c>
      <c r="H176">
        <v>3000</v>
      </c>
      <c r="I176">
        <f t="shared" si="14"/>
        <v>2700</v>
      </c>
      <c r="J176" s="4">
        <v>5</v>
      </c>
      <c r="K176">
        <f t="shared" si="10"/>
        <v>3000</v>
      </c>
      <c r="L176" t="s">
        <v>44</v>
      </c>
      <c r="M176">
        <f t="shared" si="11"/>
        <v>150</v>
      </c>
      <c r="N176">
        <f t="shared" si="12"/>
        <v>150</v>
      </c>
      <c r="O176" s="6">
        <f t="shared" si="13"/>
        <v>0.05</v>
      </c>
    </row>
    <row r="177" spans="1:15" x14ac:dyDescent="0.35">
      <c r="A177">
        <v>1176</v>
      </c>
      <c r="B177">
        <v>45700</v>
      </c>
      <c r="C177" t="s">
        <v>19</v>
      </c>
      <c r="D177" t="s">
        <v>9</v>
      </c>
      <c r="E177" t="s">
        <v>10</v>
      </c>
      <c r="F177" t="s">
        <v>25</v>
      </c>
      <c r="G177">
        <v>4</v>
      </c>
      <c r="H177">
        <v>60000</v>
      </c>
      <c r="I177">
        <f t="shared" si="14"/>
        <v>54000</v>
      </c>
      <c r="J177" s="4">
        <v>7</v>
      </c>
      <c r="K177">
        <f t="shared" si="10"/>
        <v>240000</v>
      </c>
      <c r="L177" t="s">
        <v>44</v>
      </c>
      <c r="M177">
        <f t="shared" si="11"/>
        <v>16800</v>
      </c>
      <c r="N177">
        <f t="shared" si="12"/>
        <v>7200</v>
      </c>
      <c r="O177" s="6">
        <f t="shared" si="13"/>
        <v>0.03</v>
      </c>
    </row>
    <row r="178" spans="1:15" x14ac:dyDescent="0.35">
      <c r="A178">
        <v>1177</v>
      </c>
      <c r="B178">
        <v>45703</v>
      </c>
      <c r="C178" t="s">
        <v>8</v>
      </c>
      <c r="D178" t="s">
        <v>24</v>
      </c>
      <c r="E178" t="s">
        <v>21</v>
      </c>
      <c r="F178" t="s">
        <v>26</v>
      </c>
      <c r="G178">
        <v>2</v>
      </c>
      <c r="H178">
        <v>45000</v>
      </c>
      <c r="I178">
        <f t="shared" si="14"/>
        <v>40500</v>
      </c>
      <c r="J178" s="4">
        <v>0</v>
      </c>
      <c r="K178">
        <f t="shared" si="10"/>
        <v>90000</v>
      </c>
      <c r="L178" t="s">
        <v>44</v>
      </c>
      <c r="M178">
        <f t="shared" si="11"/>
        <v>0</v>
      </c>
      <c r="N178">
        <f t="shared" si="12"/>
        <v>9000</v>
      </c>
      <c r="O178" s="6">
        <f t="shared" si="13"/>
        <v>0.1</v>
      </c>
    </row>
    <row r="179" spans="1:15" x14ac:dyDescent="0.35">
      <c r="A179">
        <v>1178</v>
      </c>
      <c r="B179">
        <v>45706</v>
      </c>
      <c r="C179" t="s">
        <v>12</v>
      </c>
      <c r="D179" t="s">
        <v>27</v>
      </c>
      <c r="E179" t="s">
        <v>14</v>
      </c>
      <c r="F179" t="s">
        <v>29</v>
      </c>
      <c r="G179">
        <v>1</v>
      </c>
      <c r="H179">
        <v>800</v>
      </c>
      <c r="I179">
        <f t="shared" si="14"/>
        <v>720</v>
      </c>
      <c r="J179" s="4">
        <v>0</v>
      </c>
      <c r="K179">
        <f t="shared" si="10"/>
        <v>800</v>
      </c>
      <c r="L179" t="s">
        <v>44</v>
      </c>
      <c r="M179">
        <f t="shared" si="11"/>
        <v>0</v>
      </c>
      <c r="N179">
        <f t="shared" si="12"/>
        <v>80</v>
      </c>
      <c r="O179" s="6">
        <f t="shared" si="13"/>
        <v>0.1</v>
      </c>
    </row>
    <row r="180" spans="1:15" x14ac:dyDescent="0.35">
      <c r="A180">
        <v>1179</v>
      </c>
      <c r="B180">
        <v>45708</v>
      </c>
      <c r="C180" t="s">
        <v>16</v>
      </c>
      <c r="D180" t="s">
        <v>28</v>
      </c>
      <c r="E180" t="s">
        <v>10</v>
      </c>
      <c r="F180" t="s">
        <v>11</v>
      </c>
      <c r="G180">
        <v>1</v>
      </c>
      <c r="H180">
        <v>21000</v>
      </c>
      <c r="I180">
        <f t="shared" si="14"/>
        <v>18900</v>
      </c>
      <c r="J180" s="4">
        <v>0</v>
      </c>
      <c r="K180">
        <f t="shared" si="10"/>
        <v>21000</v>
      </c>
      <c r="L180" t="s">
        <v>44</v>
      </c>
      <c r="M180">
        <f t="shared" si="11"/>
        <v>0</v>
      </c>
      <c r="N180">
        <f t="shared" si="12"/>
        <v>2100</v>
      </c>
      <c r="O180" s="6">
        <f t="shared" si="13"/>
        <v>0.1</v>
      </c>
    </row>
    <row r="181" spans="1:15" x14ac:dyDescent="0.35">
      <c r="A181">
        <v>1180</v>
      </c>
      <c r="B181">
        <v>45710</v>
      </c>
      <c r="C181" t="s">
        <v>19</v>
      </c>
      <c r="D181" t="s">
        <v>31</v>
      </c>
      <c r="E181" t="s">
        <v>21</v>
      </c>
      <c r="F181" t="s">
        <v>30</v>
      </c>
      <c r="G181">
        <v>5</v>
      </c>
      <c r="H181">
        <v>3500</v>
      </c>
      <c r="I181">
        <f t="shared" si="14"/>
        <v>3150</v>
      </c>
      <c r="J181" s="4">
        <v>0</v>
      </c>
      <c r="K181">
        <f t="shared" si="10"/>
        <v>17500</v>
      </c>
      <c r="L181" t="s">
        <v>44</v>
      </c>
      <c r="M181">
        <f t="shared" si="11"/>
        <v>0</v>
      </c>
      <c r="N181">
        <f t="shared" si="12"/>
        <v>1750</v>
      </c>
      <c r="O181" s="6">
        <f t="shared" si="13"/>
        <v>0.1</v>
      </c>
    </row>
    <row r="182" spans="1:15" x14ac:dyDescent="0.35">
      <c r="A182">
        <v>1181</v>
      </c>
      <c r="B182">
        <v>45660</v>
      </c>
      <c r="C182" t="s">
        <v>8</v>
      </c>
      <c r="D182" t="s">
        <v>9</v>
      </c>
      <c r="E182" t="s">
        <v>10</v>
      </c>
      <c r="F182" t="s">
        <v>11</v>
      </c>
      <c r="G182">
        <v>2</v>
      </c>
      <c r="H182">
        <v>2600</v>
      </c>
      <c r="I182">
        <f t="shared" si="14"/>
        <v>2340</v>
      </c>
      <c r="J182" s="4">
        <v>5</v>
      </c>
      <c r="K182">
        <f t="shared" si="10"/>
        <v>5200</v>
      </c>
      <c r="L182" t="s">
        <v>43</v>
      </c>
      <c r="M182">
        <f t="shared" si="11"/>
        <v>260</v>
      </c>
      <c r="N182">
        <f t="shared" si="12"/>
        <v>260</v>
      </c>
      <c r="O182" s="6">
        <f t="shared" si="13"/>
        <v>0.05</v>
      </c>
    </row>
    <row r="183" spans="1:15" x14ac:dyDescent="0.35">
      <c r="A183">
        <v>1182</v>
      </c>
      <c r="B183">
        <v>45662</v>
      </c>
      <c r="C183" t="s">
        <v>12</v>
      </c>
      <c r="D183" t="s">
        <v>13</v>
      </c>
      <c r="E183" t="s">
        <v>14</v>
      </c>
      <c r="F183" t="s">
        <v>15</v>
      </c>
      <c r="G183">
        <v>5</v>
      </c>
      <c r="H183">
        <v>58000</v>
      </c>
      <c r="I183">
        <f t="shared" si="14"/>
        <v>52200</v>
      </c>
      <c r="J183" s="4">
        <v>0</v>
      </c>
      <c r="K183">
        <f t="shared" si="10"/>
        <v>290000</v>
      </c>
      <c r="L183" t="s">
        <v>43</v>
      </c>
      <c r="M183">
        <f t="shared" si="11"/>
        <v>0</v>
      </c>
      <c r="N183">
        <f t="shared" si="12"/>
        <v>29000</v>
      </c>
      <c r="O183" s="6">
        <f t="shared" si="13"/>
        <v>0.1</v>
      </c>
    </row>
    <row r="184" spans="1:15" x14ac:dyDescent="0.35">
      <c r="A184">
        <v>1183</v>
      </c>
      <c r="B184">
        <v>45663</v>
      </c>
      <c r="C184" t="s">
        <v>16</v>
      </c>
      <c r="D184" t="s">
        <v>17</v>
      </c>
      <c r="E184" t="s">
        <v>10</v>
      </c>
      <c r="F184" t="s">
        <v>18</v>
      </c>
      <c r="G184">
        <v>3</v>
      </c>
      <c r="H184">
        <v>11000</v>
      </c>
      <c r="I184">
        <f t="shared" si="14"/>
        <v>9900</v>
      </c>
      <c r="J184" s="4">
        <v>0</v>
      </c>
      <c r="K184">
        <f t="shared" si="10"/>
        <v>33000</v>
      </c>
      <c r="L184" t="s">
        <v>43</v>
      </c>
      <c r="M184">
        <f t="shared" si="11"/>
        <v>0</v>
      </c>
      <c r="N184">
        <f t="shared" si="12"/>
        <v>3300</v>
      </c>
      <c r="O184" s="6">
        <f t="shared" si="13"/>
        <v>0.1</v>
      </c>
    </row>
    <row r="185" spans="1:15" x14ac:dyDescent="0.35">
      <c r="A185">
        <v>1184</v>
      </c>
      <c r="B185">
        <v>45664</v>
      </c>
      <c r="C185" t="s">
        <v>19</v>
      </c>
      <c r="D185" t="s">
        <v>20</v>
      </c>
      <c r="E185" t="s">
        <v>21</v>
      </c>
      <c r="F185" t="s">
        <v>22</v>
      </c>
      <c r="G185">
        <v>4</v>
      </c>
      <c r="H185">
        <v>2200</v>
      </c>
      <c r="I185">
        <f t="shared" si="14"/>
        <v>1980</v>
      </c>
      <c r="J185" s="4">
        <v>5</v>
      </c>
      <c r="K185">
        <f t="shared" si="10"/>
        <v>8800</v>
      </c>
      <c r="L185" t="s">
        <v>43</v>
      </c>
      <c r="M185">
        <f t="shared" si="11"/>
        <v>440</v>
      </c>
      <c r="N185">
        <f t="shared" si="12"/>
        <v>440</v>
      </c>
      <c r="O185" s="6">
        <f t="shared" si="13"/>
        <v>0.05</v>
      </c>
    </row>
    <row r="186" spans="1:15" x14ac:dyDescent="0.35">
      <c r="A186">
        <v>1185</v>
      </c>
      <c r="B186">
        <v>45667</v>
      </c>
      <c r="C186" t="s">
        <v>8</v>
      </c>
      <c r="D186" t="s">
        <v>13</v>
      </c>
      <c r="E186" t="s">
        <v>14</v>
      </c>
      <c r="F186" t="s">
        <v>23</v>
      </c>
      <c r="G186">
        <v>2</v>
      </c>
      <c r="H186">
        <v>3200</v>
      </c>
      <c r="I186">
        <f t="shared" si="14"/>
        <v>2880</v>
      </c>
      <c r="J186" s="4">
        <v>9</v>
      </c>
      <c r="K186">
        <f t="shared" si="10"/>
        <v>6400</v>
      </c>
      <c r="L186" t="s">
        <v>43</v>
      </c>
      <c r="M186">
        <f t="shared" si="11"/>
        <v>576</v>
      </c>
      <c r="N186">
        <f t="shared" si="12"/>
        <v>64</v>
      </c>
      <c r="O186" s="6">
        <f t="shared" si="13"/>
        <v>0.01</v>
      </c>
    </row>
    <row r="187" spans="1:15" x14ac:dyDescent="0.35">
      <c r="A187">
        <v>1186</v>
      </c>
      <c r="B187">
        <v>45668</v>
      </c>
      <c r="C187" t="s">
        <v>12</v>
      </c>
      <c r="D187" t="s">
        <v>24</v>
      </c>
      <c r="E187" t="s">
        <v>10</v>
      </c>
      <c r="F187" t="s">
        <v>25</v>
      </c>
      <c r="G187">
        <v>6</v>
      </c>
      <c r="H187">
        <v>47000</v>
      </c>
      <c r="I187">
        <f t="shared" si="14"/>
        <v>42300</v>
      </c>
      <c r="J187" s="4">
        <v>0</v>
      </c>
      <c r="K187">
        <f t="shared" si="10"/>
        <v>282000</v>
      </c>
      <c r="L187" t="s">
        <v>43</v>
      </c>
      <c r="M187">
        <f t="shared" si="11"/>
        <v>0</v>
      </c>
      <c r="N187">
        <f t="shared" si="12"/>
        <v>28200</v>
      </c>
      <c r="O187" s="6">
        <f t="shared" si="13"/>
        <v>0.1</v>
      </c>
    </row>
    <row r="188" spans="1:15" x14ac:dyDescent="0.35">
      <c r="A188">
        <v>1187</v>
      </c>
      <c r="B188">
        <v>45670</v>
      </c>
      <c r="C188" t="s">
        <v>16</v>
      </c>
      <c r="D188" t="s">
        <v>9</v>
      </c>
      <c r="E188" t="s">
        <v>21</v>
      </c>
      <c r="F188" t="s">
        <v>26</v>
      </c>
      <c r="G188">
        <v>3</v>
      </c>
      <c r="H188">
        <v>59000</v>
      </c>
      <c r="I188">
        <f t="shared" si="14"/>
        <v>53100</v>
      </c>
      <c r="J188" s="4">
        <v>0</v>
      </c>
      <c r="K188">
        <f t="shared" si="10"/>
        <v>177000</v>
      </c>
      <c r="L188" t="s">
        <v>43</v>
      </c>
      <c r="M188">
        <f t="shared" si="11"/>
        <v>0</v>
      </c>
      <c r="N188">
        <f t="shared" si="12"/>
        <v>17700</v>
      </c>
      <c r="O188" s="6">
        <f t="shared" si="13"/>
        <v>0.1</v>
      </c>
    </row>
    <row r="189" spans="1:15" x14ac:dyDescent="0.35">
      <c r="A189">
        <v>1188</v>
      </c>
      <c r="B189">
        <v>45672</v>
      </c>
      <c r="C189" t="s">
        <v>19</v>
      </c>
      <c r="D189" t="s">
        <v>27</v>
      </c>
      <c r="E189" t="s">
        <v>10</v>
      </c>
      <c r="F189" t="s">
        <v>11</v>
      </c>
      <c r="G189">
        <v>1</v>
      </c>
      <c r="H189">
        <v>850</v>
      </c>
      <c r="I189">
        <f t="shared" si="14"/>
        <v>765</v>
      </c>
      <c r="J189" s="4">
        <v>5</v>
      </c>
      <c r="K189">
        <f t="shared" si="10"/>
        <v>850</v>
      </c>
      <c r="L189" t="s">
        <v>43</v>
      </c>
      <c r="M189">
        <f t="shared" si="11"/>
        <v>42.5</v>
      </c>
      <c r="N189">
        <f t="shared" si="12"/>
        <v>42.5</v>
      </c>
      <c r="O189" s="6">
        <f t="shared" si="13"/>
        <v>0.05</v>
      </c>
    </row>
    <row r="190" spans="1:15" x14ac:dyDescent="0.35">
      <c r="A190">
        <v>1189</v>
      </c>
      <c r="B190">
        <v>45675</v>
      </c>
      <c r="C190" t="s">
        <v>8</v>
      </c>
      <c r="D190" t="s">
        <v>28</v>
      </c>
      <c r="E190" t="s">
        <v>14</v>
      </c>
      <c r="F190" t="s">
        <v>29</v>
      </c>
      <c r="G190">
        <v>1</v>
      </c>
      <c r="H190">
        <v>3500</v>
      </c>
      <c r="I190">
        <f t="shared" si="14"/>
        <v>3150</v>
      </c>
      <c r="J190" s="4">
        <v>0</v>
      </c>
      <c r="K190">
        <f t="shared" si="10"/>
        <v>3500</v>
      </c>
      <c r="L190" t="s">
        <v>43</v>
      </c>
      <c r="M190">
        <f t="shared" si="11"/>
        <v>0</v>
      </c>
      <c r="N190">
        <f t="shared" si="12"/>
        <v>350</v>
      </c>
      <c r="O190" s="6">
        <f t="shared" si="13"/>
        <v>0.1</v>
      </c>
    </row>
    <row r="191" spans="1:15" x14ac:dyDescent="0.35">
      <c r="A191">
        <v>1190</v>
      </c>
      <c r="B191">
        <v>45677</v>
      </c>
      <c r="C191" t="s">
        <v>12</v>
      </c>
      <c r="D191" t="s">
        <v>17</v>
      </c>
      <c r="E191" t="s">
        <v>21</v>
      </c>
      <c r="F191" t="s">
        <v>30</v>
      </c>
      <c r="G191">
        <v>10</v>
      </c>
      <c r="H191">
        <v>2600</v>
      </c>
      <c r="I191">
        <f t="shared" si="14"/>
        <v>2340</v>
      </c>
      <c r="J191" s="4">
        <v>10</v>
      </c>
      <c r="K191">
        <f t="shared" si="10"/>
        <v>26000</v>
      </c>
      <c r="L191" t="s">
        <v>43</v>
      </c>
      <c r="M191">
        <f t="shared" si="11"/>
        <v>2600</v>
      </c>
      <c r="N191">
        <f t="shared" si="12"/>
        <v>0</v>
      </c>
      <c r="O191" s="6">
        <f t="shared" si="13"/>
        <v>0</v>
      </c>
    </row>
    <row r="192" spans="1:15" x14ac:dyDescent="0.35">
      <c r="A192">
        <v>1191</v>
      </c>
      <c r="B192">
        <v>45690</v>
      </c>
      <c r="C192" t="s">
        <v>16</v>
      </c>
      <c r="D192" t="s">
        <v>31</v>
      </c>
      <c r="E192" t="s">
        <v>10</v>
      </c>
      <c r="F192" t="s">
        <v>18</v>
      </c>
      <c r="G192">
        <v>2</v>
      </c>
      <c r="H192">
        <v>58000</v>
      </c>
      <c r="I192">
        <f t="shared" si="14"/>
        <v>52200</v>
      </c>
      <c r="J192" s="4">
        <v>0</v>
      </c>
      <c r="K192">
        <f t="shared" si="10"/>
        <v>116000</v>
      </c>
      <c r="L192" t="s">
        <v>44</v>
      </c>
      <c r="M192">
        <f t="shared" si="11"/>
        <v>0</v>
      </c>
      <c r="N192">
        <f t="shared" si="12"/>
        <v>11600</v>
      </c>
      <c r="O192" s="6">
        <f t="shared" si="13"/>
        <v>0.1</v>
      </c>
    </row>
    <row r="193" spans="1:15" x14ac:dyDescent="0.35">
      <c r="A193">
        <v>1192</v>
      </c>
      <c r="B193">
        <v>45692</v>
      </c>
      <c r="C193" t="s">
        <v>19</v>
      </c>
      <c r="D193" t="s">
        <v>13</v>
      </c>
      <c r="E193" t="s">
        <v>14</v>
      </c>
      <c r="F193" t="s">
        <v>15</v>
      </c>
      <c r="G193">
        <v>3</v>
      </c>
      <c r="H193">
        <v>11000</v>
      </c>
      <c r="I193">
        <f t="shared" si="14"/>
        <v>9900</v>
      </c>
      <c r="J193" s="4">
        <v>5</v>
      </c>
      <c r="K193">
        <f t="shared" si="10"/>
        <v>33000</v>
      </c>
      <c r="L193" t="s">
        <v>44</v>
      </c>
      <c r="M193">
        <f t="shared" si="11"/>
        <v>1650</v>
      </c>
      <c r="N193">
        <f t="shared" si="12"/>
        <v>1650</v>
      </c>
      <c r="O193" s="6">
        <f t="shared" si="13"/>
        <v>0.05</v>
      </c>
    </row>
    <row r="194" spans="1:15" x14ac:dyDescent="0.35">
      <c r="A194">
        <v>1193</v>
      </c>
      <c r="B194">
        <v>45694</v>
      </c>
      <c r="C194" t="s">
        <v>8</v>
      </c>
      <c r="D194" t="s">
        <v>32</v>
      </c>
      <c r="E194" t="s">
        <v>21</v>
      </c>
      <c r="F194" t="s">
        <v>22</v>
      </c>
      <c r="G194">
        <v>2</v>
      </c>
      <c r="H194">
        <v>2200</v>
      </c>
      <c r="I194">
        <f t="shared" si="14"/>
        <v>1980</v>
      </c>
      <c r="J194" s="4">
        <v>0</v>
      </c>
      <c r="K194">
        <f t="shared" si="10"/>
        <v>4400</v>
      </c>
      <c r="L194" t="s">
        <v>44</v>
      </c>
      <c r="M194">
        <f t="shared" si="11"/>
        <v>0</v>
      </c>
      <c r="N194">
        <f t="shared" si="12"/>
        <v>440</v>
      </c>
      <c r="O194" s="6">
        <f t="shared" si="13"/>
        <v>0.1</v>
      </c>
    </row>
    <row r="195" spans="1:15" x14ac:dyDescent="0.35">
      <c r="A195">
        <v>1194</v>
      </c>
      <c r="B195">
        <v>45696</v>
      </c>
      <c r="C195" t="s">
        <v>12</v>
      </c>
      <c r="D195" t="s">
        <v>20</v>
      </c>
      <c r="E195" t="s">
        <v>10</v>
      </c>
      <c r="F195" t="s">
        <v>11</v>
      </c>
      <c r="G195">
        <v>1</v>
      </c>
      <c r="H195">
        <v>3200</v>
      </c>
      <c r="I195">
        <f t="shared" si="14"/>
        <v>2880</v>
      </c>
      <c r="J195" s="4">
        <v>0</v>
      </c>
      <c r="K195">
        <f t="shared" ref="K195:K258" si="15">H195*G195</f>
        <v>3200</v>
      </c>
      <c r="L195" t="s">
        <v>44</v>
      </c>
      <c r="M195">
        <f t="shared" ref="M195:M258" si="16">K195*(J195)%</f>
        <v>0</v>
      </c>
      <c r="N195">
        <f t="shared" ref="N195:N258" si="17">K195-(I195*G195)-M195</f>
        <v>320</v>
      </c>
      <c r="O195" s="6">
        <f t="shared" ref="O195:O258" si="18">N195/K195</f>
        <v>0.1</v>
      </c>
    </row>
    <row r="196" spans="1:15" x14ac:dyDescent="0.35">
      <c r="A196">
        <v>1195</v>
      </c>
      <c r="B196">
        <v>45698</v>
      </c>
      <c r="C196" t="s">
        <v>16</v>
      </c>
      <c r="D196" t="s">
        <v>33</v>
      </c>
      <c r="E196" t="s">
        <v>14</v>
      </c>
      <c r="F196" t="s">
        <v>23</v>
      </c>
      <c r="G196">
        <v>1</v>
      </c>
      <c r="H196">
        <v>47000</v>
      </c>
      <c r="I196">
        <f t="shared" si="14"/>
        <v>42300</v>
      </c>
      <c r="J196" s="4">
        <v>6</v>
      </c>
      <c r="K196">
        <f t="shared" si="15"/>
        <v>47000</v>
      </c>
      <c r="L196" t="s">
        <v>44</v>
      </c>
      <c r="M196">
        <f t="shared" si="16"/>
        <v>2820</v>
      </c>
      <c r="N196">
        <f t="shared" si="17"/>
        <v>1880</v>
      </c>
      <c r="O196" s="6">
        <f t="shared" si="18"/>
        <v>0.04</v>
      </c>
    </row>
    <row r="197" spans="1:15" x14ac:dyDescent="0.35">
      <c r="A197">
        <v>1196</v>
      </c>
      <c r="B197">
        <v>45700</v>
      </c>
      <c r="C197" t="s">
        <v>19</v>
      </c>
      <c r="D197" t="s">
        <v>9</v>
      </c>
      <c r="E197" t="s">
        <v>10</v>
      </c>
      <c r="F197" t="s">
        <v>25</v>
      </c>
      <c r="G197">
        <v>4</v>
      </c>
      <c r="H197">
        <v>59000</v>
      </c>
      <c r="I197">
        <f t="shared" si="14"/>
        <v>53100</v>
      </c>
      <c r="J197" s="4">
        <v>5</v>
      </c>
      <c r="K197">
        <f t="shared" si="15"/>
        <v>236000</v>
      </c>
      <c r="L197" t="s">
        <v>44</v>
      </c>
      <c r="M197">
        <f t="shared" si="16"/>
        <v>11800</v>
      </c>
      <c r="N197">
        <f t="shared" si="17"/>
        <v>11800</v>
      </c>
      <c r="O197" s="6">
        <f t="shared" si="18"/>
        <v>0.05</v>
      </c>
    </row>
    <row r="198" spans="1:15" x14ac:dyDescent="0.35">
      <c r="A198">
        <v>1197</v>
      </c>
      <c r="B198">
        <v>45703</v>
      </c>
      <c r="C198" t="s">
        <v>8</v>
      </c>
      <c r="D198" t="s">
        <v>24</v>
      </c>
      <c r="E198" t="s">
        <v>21</v>
      </c>
      <c r="F198" t="s">
        <v>26</v>
      </c>
      <c r="G198">
        <v>2</v>
      </c>
      <c r="H198">
        <v>850</v>
      </c>
      <c r="I198">
        <f t="shared" si="14"/>
        <v>765</v>
      </c>
      <c r="J198" s="4">
        <v>0</v>
      </c>
      <c r="K198">
        <f t="shared" si="15"/>
        <v>1700</v>
      </c>
      <c r="L198" t="s">
        <v>44</v>
      </c>
      <c r="M198">
        <f t="shared" si="16"/>
        <v>0</v>
      </c>
      <c r="N198">
        <f t="shared" si="17"/>
        <v>170</v>
      </c>
      <c r="O198" s="6">
        <f t="shared" si="18"/>
        <v>0.1</v>
      </c>
    </row>
    <row r="199" spans="1:15" x14ac:dyDescent="0.35">
      <c r="A199">
        <v>1198</v>
      </c>
      <c r="B199">
        <v>45706</v>
      </c>
      <c r="C199" t="s">
        <v>12</v>
      </c>
      <c r="D199" t="s">
        <v>27</v>
      </c>
      <c r="E199" t="s">
        <v>14</v>
      </c>
      <c r="F199" t="s">
        <v>29</v>
      </c>
      <c r="G199">
        <v>1</v>
      </c>
      <c r="H199">
        <v>2500</v>
      </c>
      <c r="I199">
        <f t="shared" si="14"/>
        <v>2250</v>
      </c>
      <c r="J199" s="4">
        <v>8</v>
      </c>
      <c r="K199">
        <f t="shared" si="15"/>
        <v>2500</v>
      </c>
      <c r="L199" t="s">
        <v>44</v>
      </c>
      <c r="M199">
        <f t="shared" si="16"/>
        <v>200</v>
      </c>
      <c r="N199">
        <f t="shared" si="17"/>
        <v>50</v>
      </c>
      <c r="O199" s="6">
        <f t="shared" si="18"/>
        <v>0.02</v>
      </c>
    </row>
    <row r="200" spans="1:15" x14ac:dyDescent="0.35">
      <c r="A200">
        <v>1199</v>
      </c>
      <c r="B200">
        <v>45708</v>
      </c>
      <c r="C200" t="s">
        <v>16</v>
      </c>
      <c r="D200" t="s">
        <v>28</v>
      </c>
      <c r="E200" t="s">
        <v>10</v>
      </c>
      <c r="F200" t="s">
        <v>11</v>
      </c>
      <c r="G200">
        <v>1</v>
      </c>
      <c r="H200">
        <v>12000</v>
      </c>
      <c r="I200">
        <f t="shared" si="14"/>
        <v>10800</v>
      </c>
      <c r="J200" s="4">
        <v>0</v>
      </c>
      <c r="K200">
        <f t="shared" si="15"/>
        <v>12000</v>
      </c>
      <c r="L200" t="s">
        <v>44</v>
      </c>
      <c r="M200">
        <f t="shared" si="16"/>
        <v>0</v>
      </c>
      <c r="N200">
        <f t="shared" si="17"/>
        <v>1200</v>
      </c>
      <c r="O200" s="6">
        <f t="shared" si="18"/>
        <v>0.1</v>
      </c>
    </row>
    <row r="201" spans="1:15" x14ac:dyDescent="0.35">
      <c r="A201">
        <v>1200</v>
      </c>
      <c r="B201">
        <v>45710</v>
      </c>
      <c r="C201" t="s">
        <v>19</v>
      </c>
      <c r="D201" t="s">
        <v>31</v>
      </c>
      <c r="E201" t="s">
        <v>21</v>
      </c>
      <c r="F201" t="s">
        <v>30</v>
      </c>
      <c r="G201">
        <v>5</v>
      </c>
      <c r="H201">
        <v>2000</v>
      </c>
      <c r="I201">
        <f t="shared" si="14"/>
        <v>1800</v>
      </c>
      <c r="J201" s="4">
        <v>0</v>
      </c>
      <c r="K201">
        <f t="shared" si="15"/>
        <v>10000</v>
      </c>
      <c r="L201" t="s">
        <v>44</v>
      </c>
      <c r="M201">
        <f t="shared" si="16"/>
        <v>0</v>
      </c>
      <c r="N201">
        <f t="shared" si="17"/>
        <v>1000</v>
      </c>
      <c r="O201" s="6">
        <f t="shared" si="18"/>
        <v>0.1</v>
      </c>
    </row>
    <row r="202" spans="1:15" x14ac:dyDescent="0.35">
      <c r="A202">
        <v>1201</v>
      </c>
      <c r="B202">
        <v>45660</v>
      </c>
      <c r="C202" t="s">
        <v>8</v>
      </c>
      <c r="D202" t="s">
        <v>9</v>
      </c>
      <c r="E202" t="s">
        <v>10</v>
      </c>
      <c r="F202" t="s">
        <v>11</v>
      </c>
      <c r="G202">
        <v>2</v>
      </c>
      <c r="H202">
        <v>3000</v>
      </c>
      <c r="I202">
        <f t="shared" si="14"/>
        <v>2700</v>
      </c>
      <c r="J202" s="4">
        <v>5</v>
      </c>
      <c r="K202">
        <f t="shared" si="15"/>
        <v>6000</v>
      </c>
      <c r="L202" t="s">
        <v>43</v>
      </c>
      <c r="M202">
        <f t="shared" si="16"/>
        <v>300</v>
      </c>
      <c r="N202">
        <f t="shared" si="17"/>
        <v>300</v>
      </c>
      <c r="O202" s="6">
        <f t="shared" si="18"/>
        <v>0.05</v>
      </c>
    </row>
    <row r="203" spans="1:15" x14ac:dyDescent="0.35">
      <c r="A203">
        <v>1202</v>
      </c>
      <c r="B203">
        <v>45662</v>
      </c>
      <c r="C203" t="s">
        <v>12</v>
      </c>
      <c r="D203" t="s">
        <v>13</v>
      </c>
      <c r="E203" t="s">
        <v>14</v>
      </c>
      <c r="F203" t="s">
        <v>15</v>
      </c>
      <c r="G203">
        <v>5</v>
      </c>
      <c r="H203">
        <v>60000</v>
      </c>
      <c r="I203">
        <f t="shared" si="14"/>
        <v>54000</v>
      </c>
      <c r="J203" s="4">
        <v>0</v>
      </c>
      <c r="K203">
        <f t="shared" si="15"/>
        <v>300000</v>
      </c>
      <c r="L203" t="s">
        <v>43</v>
      </c>
      <c r="M203">
        <f t="shared" si="16"/>
        <v>0</v>
      </c>
      <c r="N203">
        <f t="shared" si="17"/>
        <v>30000</v>
      </c>
      <c r="O203" s="6">
        <f t="shared" si="18"/>
        <v>0.1</v>
      </c>
    </row>
    <row r="204" spans="1:15" x14ac:dyDescent="0.35">
      <c r="A204">
        <v>1203</v>
      </c>
      <c r="B204">
        <v>45663</v>
      </c>
      <c r="C204" t="s">
        <v>16</v>
      </c>
      <c r="D204" t="s">
        <v>17</v>
      </c>
      <c r="E204" t="s">
        <v>10</v>
      </c>
      <c r="F204" t="s">
        <v>18</v>
      </c>
      <c r="G204">
        <v>3</v>
      </c>
      <c r="H204">
        <v>45000</v>
      </c>
      <c r="I204">
        <f t="shared" si="14"/>
        <v>40500</v>
      </c>
      <c r="J204" s="4">
        <v>0</v>
      </c>
      <c r="K204">
        <f t="shared" si="15"/>
        <v>135000</v>
      </c>
      <c r="L204" t="s">
        <v>43</v>
      </c>
      <c r="M204">
        <f t="shared" si="16"/>
        <v>0</v>
      </c>
      <c r="N204">
        <f t="shared" si="17"/>
        <v>13500</v>
      </c>
      <c r="O204" s="6">
        <f t="shared" si="18"/>
        <v>0.1</v>
      </c>
    </row>
    <row r="205" spans="1:15" x14ac:dyDescent="0.35">
      <c r="A205">
        <v>1204</v>
      </c>
      <c r="B205">
        <v>45664</v>
      </c>
      <c r="C205" t="s">
        <v>19</v>
      </c>
      <c r="D205" t="s">
        <v>20</v>
      </c>
      <c r="E205" t="s">
        <v>21</v>
      </c>
      <c r="F205" t="s">
        <v>22</v>
      </c>
      <c r="G205">
        <v>4</v>
      </c>
      <c r="H205">
        <v>800</v>
      </c>
      <c r="I205">
        <f t="shared" si="14"/>
        <v>720</v>
      </c>
      <c r="J205" s="4">
        <v>5</v>
      </c>
      <c r="K205">
        <f t="shared" si="15"/>
        <v>3200</v>
      </c>
      <c r="L205" t="s">
        <v>43</v>
      </c>
      <c r="M205">
        <f t="shared" si="16"/>
        <v>160</v>
      </c>
      <c r="N205">
        <f t="shared" si="17"/>
        <v>160</v>
      </c>
      <c r="O205" s="6">
        <f t="shared" si="18"/>
        <v>0.05</v>
      </c>
    </row>
    <row r="206" spans="1:15" x14ac:dyDescent="0.35">
      <c r="A206">
        <v>1205</v>
      </c>
      <c r="B206">
        <v>45667</v>
      </c>
      <c r="C206" t="s">
        <v>8</v>
      </c>
      <c r="D206" t="s">
        <v>13</v>
      </c>
      <c r="E206" t="s">
        <v>14</v>
      </c>
      <c r="F206" t="s">
        <v>23</v>
      </c>
      <c r="G206">
        <v>2</v>
      </c>
      <c r="H206">
        <v>21000</v>
      </c>
      <c r="I206">
        <f t="shared" si="14"/>
        <v>18900</v>
      </c>
      <c r="J206" s="4">
        <v>10</v>
      </c>
      <c r="K206">
        <f t="shared" si="15"/>
        <v>42000</v>
      </c>
      <c r="L206" t="s">
        <v>43</v>
      </c>
      <c r="M206">
        <f t="shared" si="16"/>
        <v>4200</v>
      </c>
      <c r="N206">
        <f t="shared" si="17"/>
        <v>0</v>
      </c>
      <c r="O206" s="6">
        <f t="shared" si="18"/>
        <v>0</v>
      </c>
    </row>
    <row r="207" spans="1:15" x14ac:dyDescent="0.35">
      <c r="A207">
        <v>1206</v>
      </c>
      <c r="B207">
        <v>45668</v>
      </c>
      <c r="C207" t="s">
        <v>12</v>
      </c>
      <c r="D207" t="s">
        <v>24</v>
      </c>
      <c r="E207" t="s">
        <v>10</v>
      </c>
      <c r="F207" t="s">
        <v>25</v>
      </c>
      <c r="G207">
        <v>6</v>
      </c>
      <c r="H207">
        <v>3500</v>
      </c>
      <c r="I207">
        <f t="shared" si="14"/>
        <v>3150</v>
      </c>
      <c r="J207" s="4">
        <v>0</v>
      </c>
      <c r="K207">
        <f t="shared" si="15"/>
        <v>21000</v>
      </c>
      <c r="L207" t="s">
        <v>43</v>
      </c>
      <c r="M207">
        <f t="shared" si="16"/>
        <v>0</v>
      </c>
      <c r="N207">
        <f t="shared" si="17"/>
        <v>2100</v>
      </c>
      <c r="O207" s="6">
        <f t="shared" si="18"/>
        <v>0.1</v>
      </c>
    </row>
    <row r="208" spans="1:15" x14ac:dyDescent="0.35">
      <c r="A208">
        <v>1207</v>
      </c>
      <c r="B208">
        <v>45670</v>
      </c>
      <c r="C208" t="s">
        <v>16</v>
      </c>
      <c r="D208" t="s">
        <v>9</v>
      </c>
      <c r="E208" t="s">
        <v>21</v>
      </c>
      <c r="F208" t="s">
        <v>26</v>
      </c>
      <c r="G208">
        <v>3</v>
      </c>
      <c r="H208">
        <v>2600</v>
      </c>
      <c r="I208">
        <f t="shared" si="14"/>
        <v>2340</v>
      </c>
      <c r="J208" s="4">
        <v>0</v>
      </c>
      <c r="K208">
        <f t="shared" si="15"/>
        <v>7800</v>
      </c>
      <c r="L208" t="s">
        <v>43</v>
      </c>
      <c r="M208">
        <f t="shared" si="16"/>
        <v>0</v>
      </c>
      <c r="N208">
        <f t="shared" si="17"/>
        <v>780</v>
      </c>
      <c r="O208" s="6">
        <f t="shared" si="18"/>
        <v>0.1</v>
      </c>
    </row>
    <row r="209" spans="1:15" x14ac:dyDescent="0.35">
      <c r="A209">
        <v>1208</v>
      </c>
      <c r="B209">
        <v>45672</v>
      </c>
      <c r="C209" t="s">
        <v>19</v>
      </c>
      <c r="D209" t="s">
        <v>27</v>
      </c>
      <c r="E209" t="s">
        <v>10</v>
      </c>
      <c r="F209" t="s">
        <v>11</v>
      </c>
      <c r="G209">
        <v>1</v>
      </c>
      <c r="H209">
        <v>58000</v>
      </c>
      <c r="I209">
        <f t="shared" si="14"/>
        <v>52200</v>
      </c>
      <c r="J209" s="4">
        <v>5</v>
      </c>
      <c r="K209">
        <f t="shared" si="15"/>
        <v>58000</v>
      </c>
      <c r="L209" t="s">
        <v>43</v>
      </c>
      <c r="M209">
        <f t="shared" si="16"/>
        <v>2900</v>
      </c>
      <c r="N209">
        <f t="shared" si="17"/>
        <v>2900</v>
      </c>
      <c r="O209" s="6">
        <f t="shared" si="18"/>
        <v>0.05</v>
      </c>
    </row>
    <row r="210" spans="1:15" x14ac:dyDescent="0.35">
      <c r="A210">
        <v>1209</v>
      </c>
      <c r="B210">
        <v>45675</v>
      </c>
      <c r="C210" t="s">
        <v>8</v>
      </c>
      <c r="D210" t="s">
        <v>28</v>
      </c>
      <c r="E210" t="s">
        <v>14</v>
      </c>
      <c r="F210" t="s">
        <v>29</v>
      </c>
      <c r="G210">
        <v>1</v>
      </c>
      <c r="H210">
        <v>11000</v>
      </c>
      <c r="I210">
        <f t="shared" si="14"/>
        <v>9900</v>
      </c>
      <c r="J210" s="4">
        <v>0</v>
      </c>
      <c r="K210">
        <f t="shared" si="15"/>
        <v>11000</v>
      </c>
      <c r="L210" t="s">
        <v>43</v>
      </c>
      <c r="M210">
        <f t="shared" si="16"/>
        <v>0</v>
      </c>
      <c r="N210">
        <f t="shared" si="17"/>
        <v>1100</v>
      </c>
      <c r="O210" s="6">
        <f t="shared" si="18"/>
        <v>0.1</v>
      </c>
    </row>
    <row r="211" spans="1:15" x14ac:dyDescent="0.35">
      <c r="A211">
        <v>1210</v>
      </c>
      <c r="B211">
        <v>45677</v>
      </c>
      <c r="C211" t="s">
        <v>12</v>
      </c>
      <c r="D211" t="s">
        <v>17</v>
      </c>
      <c r="E211" t="s">
        <v>21</v>
      </c>
      <c r="F211" t="s">
        <v>30</v>
      </c>
      <c r="G211">
        <v>10</v>
      </c>
      <c r="H211">
        <v>2200</v>
      </c>
      <c r="I211">
        <f t="shared" si="14"/>
        <v>1980</v>
      </c>
      <c r="J211" s="4">
        <v>8</v>
      </c>
      <c r="K211">
        <f t="shared" si="15"/>
        <v>22000</v>
      </c>
      <c r="L211" t="s">
        <v>43</v>
      </c>
      <c r="M211">
        <f t="shared" si="16"/>
        <v>1760</v>
      </c>
      <c r="N211">
        <f t="shared" si="17"/>
        <v>440</v>
      </c>
      <c r="O211" s="6">
        <f t="shared" si="18"/>
        <v>0.02</v>
      </c>
    </row>
    <row r="212" spans="1:15" x14ac:dyDescent="0.35">
      <c r="A212">
        <v>1211</v>
      </c>
      <c r="B212">
        <v>45690</v>
      </c>
      <c r="C212" t="s">
        <v>16</v>
      </c>
      <c r="D212" t="s">
        <v>31</v>
      </c>
      <c r="E212" t="s">
        <v>10</v>
      </c>
      <c r="F212" t="s">
        <v>18</v>
      </c>
      <c r="G212">
        <v>2</v>
      </c>
      <c r="H212">
        <v>55000</v>
      </c>
      <c r="I212">
        <f t="shared" si="14"/>
        <v>49500</v>
      </c>
      <c r="J212" s="4">
        <v>0</v>
      </c>
      <c r="K212">
        <f t="shared" si="15"/>
        <v>110000</v>
      </c>
      <c r="L212" t="s">
        <v>44</v>
      </c>
      <c r="M212">
        <f t="shared" si="16"/>
        <v>0</v>
      </c>
      <c r="N212">
        <f t="shared" si="17"/>
        <v>11000</v>
      </c>
      <c r="O212" s="6">
        <f t="shared" si="18"/>
        <v>0.1</v>
      </c>
    </row>
    <row r="213" spans="1:15" x14ac:dyDescent="0.35">
      <c r="A213">
        <v>1212</v>
      </c>
      <c r="B213">
        <v>45692</v>
      </c>
      <c r="C213" t="s">
        <v>19</v>
      </c>
      <c r="D213" t="s">
        <v>13</v>
      </c>
      <c r="E213" t="s">
        <v>14</v>
      </c>
      <c r="F213" t="s">
        <v>15</v>
      </c>
      <c r="G213">
        <v>3</v>
      </c>
      <c r="H213">
        <v>3500</v>
      </c>
      <c r="I213">
        <f t="shared" si="14"/>
        <v>3150</v>
      </c>
      <c r="J213" s="4">
        <v>5</v>
      </c>
      <c r="K213">
        <f t="shared" si="15"/>
        <v>10500</v>
      </c>
      <c r="L213" t="s">
        <v>44</v>
      </c>
      <c r="M213">
        <f t="shared" si="16"/>
        <v>525</v>
      </c>
      <c r="N213">
        <f t="shared" si="17"/>
        <v>525</v>
      </c>
      <c r="O213" s="6">
        <f t="shared" si="18"/>
        <v>0.05</v>
      </c>
    </row>
    <row r="214" spans="1:15" x14ac:dyDescent="0.35">
      <c r="A214">
        <v>1213</v>
      </c>
      <c r="B214">
        <v>45694</v>
      </c>
      <c r="C214" t="s">
        <v>8</v>
      </c>
      <c r="D214" t="s">
        <v>32</v>
      </c>
      <c r="E214" t="s">
        <v>21</v>
      </c>
      <c r="F214" t="s">
        <v>22</v>
      </c>
      <c r="G214">
        <v>2</v>
      </c>
      <c r="H214">
        <v>22000</v>
      </c>
      <c r="I214">
        <f t="shared" si="14"/>
        <v>19800</v>
      </c>
      <c r="J214" s="4">
        <v>0</v>
      </c>
      <c r="K214">
        <f t="shared" si="15"/>
        <v>44000</v>
      </c>
      <c r="L214" t="s">
        <v>44</v>
      </c>
      <c r="M214">
        <f t="shared" si="16"/>
        <v>0</v>
      </c>
      <c r="N214">
        <f t="shared" si="17"/>
        <v>4400</v>
      </c>
      <c r="O214" s="6">
        <f t="shared" si="18"/>
        <v>0.1</v>
      </c>
    </row>
    <row r="215" spans="1:15" x14ac:dyDescent="0.35">
      <c r="A215">
        <v>1214</v>
      </c>
      <c r="B215">
        <v>45696</v>
      </c>
      <c r="C215" t="s">
        <v>12</v>
      </c>
      <c r="D215" t="s">
        <v>20</v>
      </c>
      <c r="E215" t="s">
        <v>10</v>
      </c>
      <c r="F215" t="s">
        <v>11</v>
      </c>
      <c r="G215">
        <v>1</v>
      </c>
      <c r="H215">
        <v>2500</v>
      </c>
      <c r="I215">
        <f t="shared" ref="I215:I278" si="19">H215*90%</f>
        <v>2250</v>
      </c>
      <c r="J215" s="4">
        <v>0</v>
      </c>
      <c r="K215">
        <f t="shared" si="15"/>
        <v>2500</v>
      </c>
      <c r="L215" t="s">
        <v>44</v>
      </c>
      <c r="M215">
        <f t="shared" si="16"/>
        <v>0</v>
      </c>
      <c r="N215">
        <f t="shared" si="17"/>
        <v>250</v>
      </c>
      <c r="O215" s="6">
        <f t="shared" si="18"/>
        <v>0.1</v>
      </c>
    </row>
    <row r="216" spans="1:15" x14ac:dyDescent="0.35">
      <c r="A216">
        <v>1215</v>
      </c>
      <c r="B216">
        <v>45698</v>
      </c>
      <c r="C216" t="s">
        <v>16</v>
      </c>
      <c r="D216" t="s">
        <v>33</v>
      </c>
      <c r="E216" t="s">
        <v>14</v>
      </c>
      <c r="F216" t="s">
        <v>23</v>
      </c>
      <c r="G216">
        <v>1</v>
      </c>
      <c r="H216">
        <v>12000</v>
      </c>
      <c r="I216">
        <f t="shared" si="19"/>
        <v>10800</v>
      </c>
      <c r="J216" s="4">
        <v>8</v>
      </c>
      <c r="K216">
        <f t="shared" si="15"/>
        <v>12000</v>
      </c>
      <c r="L216" t="s">
        <v>44</v>
      </c>
      <c r="M216">
        <f t="shared" si="16"/>
        <v>960</v>
      </c>
      <c r="N216">
        <f t="shared" si="17"/>
        <v>240</v>
      </c>
      <c r="O216" s="6">
        <f t="shared" si="18"/>
        <v>0.02</v>
      </c>
    </row>
    <row r="217" spans="1:15" x14ac:dyDescent="0.35">
      <c r="A217">
        <v>1216</v>
      </c>
      <c r="B217">
        <v>45700</v>
      </c>
      <c r="C217" t="s">
        <v>19</v>
      </c>
      <c r="D217" t="s">
        <v>9</v>
      </c>
      <c r="E217" t="s">
        <v>10</v>
      </c>
      <c r="F217" t="s">
        <v>25</v>
      </c>
      <c r="G217">
        <v>4</v>
      </c>
      <c r="H217">
        <v>2000</v>
      </c>
      <c r="I217">
        <f t="shared" si="19"/>
        <v>1800</v>
      </c>
      <c r="J217" s="4">
        <v>5</v>
      </c>
      <c r="K217">
        <f t="shared" si="15"/>
        <v>8000</v>
      </c>
      <c r="L217" t="s">
        <v>44</v>
      </c>
      <c r="M217">
        <f t="shared" si="16"/>
        <v>400</v>
      </c>
      <c r="N217">
        <f t="shared" si="17"/>
        <v>400</v>
      </c>
      <c r="O217" s="6">
        <f t="shared" si="18"/>
        <v>0.05</v>
      </c>
    </row>
    <row r="218" spans="1:15" x14ac:dyDescent="0.35">
      <c r="A218">
        <v>1217</v>
      </c>
      <c r="B218">
        <v>45703</v>
      </c>
      <c r="C218" t="s">
        <v>8</v>
      </c>
      <c r="D218" t="s">
        <v>24</v>
      </c>
      <c r="E218" t="s">
        <v>21</v>
      </c>
      <c r="F218" t="s">
        <v>26</v>
      </c>
      <c r="G218">
        <v>2</v>
      </c>
      <c r="H218">
        <v>3000</v>
      </c>
      <c r="I218">
        <f t="shared" si="19"/>
        <v>2700</v>
      </c>
      <c r="J218" s="4">
        <v>0</v>
      </c>
      <c r="K218">
        <f t="shared" si="15"/>
        <v>6000</v>
      </c>
      <c r="L218" t="s">
        <v>44</v>
      </c>
      <c r="M218">
        <f t="shared" si="16"/>
        <v>0</v>
      </c>
      <c r="N218">
        <f t="shared" si="17"/>
        <v>600</v>
      </c>
      <c r="O218" s="6">
        <f t="shared" si="18"/>
        <v>0.1</v>
      </c>
    </row>
    <row r="219" spans="1:15" x14ac:dyDescent="0.35">
      <c r="A219">
        <v>1218</v>
      </c>
      <c r="B219">
        <v>45706</v>
      </c>
      <c r="C219" t="s">
        <v>12</v>
      </c>
      <c r="D219" t="s">
        <v>27</v>
      </c>
      <c r="E219" t="s">
        <v>14</v>
      </c>
      <c r="F219" t="s">
        <v>29</v>
      </c>
      <c r="G219">
        <v>1</v>
      </c>
      <c r="H219">
        <v>60000</v>
      </c>
      <c r="I219">
        <f t="shared" si="19"/>
        <v>54000</v>
      </c>
      <c r="J219" s="4">
        <v>7</v>
      </c>
      <c r="K219">
        <f t="shared" si="15"/>
        <v>60000</v>
      </c>
      <c r="L219" t="s">
        <v>44</v>
      </c>
      <c r="M219">
        <f t="shared" si="16"/>
        <v>4200</v>
      </c>
      <c r="N219">
        <f t="shared" si="17"/>
        <v>1800</v>
      </c>
      <c r="O219" s="6">
        <f t="shared" si="18"/>
        <v>0.03</v>
      </c>
    </row>
    <row r="220" spans="1:15" x14ac:dyDescent="0.35">
      <c r="A220">
        <v>1219</v>
      </c>
      <c r="B220">
        <v>45708</v>
      </c>
      <c r="C220" t="s">
        <v>16</v>
      </c>
      <c r="D220" t="s">
        <v>28</v>
      </c>
      <c r="E220" t="s">
        <v>10</v>
      </c>
      <c r="F220" t="s">
        <v>11</v>
      </c>
      <c r="G220">
        <v>1</v>
      </c>
      <c r="H220">
        <v>45000</v>
      </c>
      <c r="I220">
        <f t="shared" si="19"/>
        <v>40500</v>
      </c>
      <c r="J220" s="4">
        <v>0</v>
      </c>
      <c r="K220">
        <f t="shared" si="15"/>
        <v>45000</v>
      </c>
      <c r="L220" t="s">
        <v>44</v>
      </c>
      <c r="M220">
        <f t="shared" si="16"/>
        <v>0</v>
      </c>
      <c r="N220">
        <f t="shared" si="17"/>
        <v>4500</v>
      </c>
      <c r="O220" s="6">
        <f t="shared" si="18"/>
        <v>0.1</v>
      </c>
    </row>
    <row r="221" spans="1:15" x14ac:dyDescent="0.35">
      <c r="A221">
        <v>1220</v>
      </c>
      <c r="B221">
        <v>45710</v>
      </c>
      <c r="C221" t="s">
        <v>19</v>
      </c>
      <c r="D221" t="s">
        <v>31</v>
      </c>
      <c r="E221" t="s">
        <v>21</v>
      </c>
      <c r="F221" t="s">
        <v>30</v>
      </c>
      <c r="G221">
        <v>5</v>
      </c>
      <c r="H221">
        <v>800</v>
      </c>
      <c r="I221">
        <f t="shared" si="19"/>
        <v>720</v>
      </c>
      <c r="J221" s="4">
        <v>0</v>
      </c>
      <c r="K221">
        <f t="shared" si="15"/>
        <v>4000</v>
      </c>
      <c r="L221" t="s">
        <v>44</v>
      </c>
      <c r="M221">
        <f t="shared" si="16"/>
        <v>0</v>
      </c>
      <c r="N221">
        <f t="shared" si="17"/>
        <v>400</v>
      </c>
      <c r="O221" s="6">
        <f t="shared" si="18"/>
        <v>0.1</v>
      </c>
    </row>
    <row r="222" spans="1:15" x14ac:dyDescent="0.35">
      <c r="A222">
        <v>1221</v>
      </c>
      <c r="B222">
        <v>45660</v>
      </c>
      <c r="C222" t="s">
        <v>8</v>
      </c>
      <c r="D222" t="s">
        <v>9</v>
      </c>
      <c r="E222" t="s">
        <v>10</v>
      </c>
      <c r="F222" t="s">
        <v>11</v>
      </c>
      <c r="G222">
        <v>2</v>
      </c>
      <c r="H222">
        <v>21000</v>
      </c>
      <c r="I222">
        <f t="shared" si="19"/>
        <v>18900</v>
      </c>
      <c r="J222" s="4">
        <v>5</v>
      </c>
      <c r="K222">
        <f t="shared" si="15"/>
        <v>42000</v>
      </c>
      <c r="L222" t="s">
        <v>43</v>
      </c>
      <c r="M222">
        <f t="shared" si="16"/>
        <v>2100</v>
      </c>
      <c r="N222">
        <f t="shared" si="17"/>
        <v>2100</v>
      </c>
      <c r="O222" s="6">
        <f t="shared" si="18"/>
        <v>0.05</v>
      </c>
    </row>
    <row r="223" spans="1:15" x14ac:dyDescent="0.35">
      <c r="A223">
        <v>1222</v>
      </c>
      <c r="B223">
        <v>45662</v>
      </c>
      <c r="C223" t="s">
        <v>12</v>
      </c>
      <c r="D223" t="s">
        <v>13</v>
      </c>
      <c r="E223" t="s">
        <v>14</v>
      </c>
      <c r="F223" t="s">
        <v>15</v>
      </c>
      <c r="G223">
        <v>5</v>
      </c>
      <c r="H223">
        <v>3500</v>
      </c>
      <c r="I223">
        <f t="shared" si="19"/>
        <v>3150</v>
      </c>
      <c r="J223" s="4">
        <v>0</v>
      </c>
      <c r="K223">
        <f t="shared" si="15"/>
        <v>17500</v>
      </c>
      <c r="L223" t="s">
        <v>43</v>
      </c>
      <c r="M223">
        <f t="shared" si="16"/>
        <v>0</v>
      </c>
      <c r="N223">
        <f t="shared" si="17"/>
        <v>1750</v>
      </c>
      <c r="O223" s="6">
        <f t="shared" si="18"/>
        <v>0.1</v>
      </c>
    </row>
    <row r="224" spans="1:15" x14ac:dyDescent="0.35">
      <c r="A224">
        <v>1223</v>
      </c>
      <c r="B224">
        <v>45663</v>
      </c>
      <c r="C224" t="s">
        <v>16</v>
      </c>
      <c r="D224" t="s">
        <v>17</v>
      </c>
      <c r="E224" t="s">
        <v>10</v>
      </c>
      <c r="F224" t="s">
        <v>18</v>
      </c>
      <c r="G224">
        <v>3</v>
      </c>
      <c r="H224">
        <v>2600</v>
      </c>
      <c r="I224">
        <f t="shared" si="19"/>
        <v>2340</v>
      </c>
      <c r="J224" s="4">
        <v>0</v>
      </c>
      <c r="K224">
        <f t="shared" si="15"/>
        <v>7800</v>
      </c>
      <c r="L224" t="s">
        <v>43</v>
      </c>
      <c r="M224">
        <f t="shared" si="16"/>
        <v>0</v>
      </c>
      <c r="N224">
        <f t="shared" si="17"/>
        <v>780</v>
      </c>
      <c r="O224" s="6">
        <f t="shared" si="18"/>
        <v>0.1</v>
      </c>
    </row>
    <row r="225" spans="1:15" x14ac:dyDescent="0.35">
      <c r="A225">
        <v>1224</v>
      </c>
      <c r="B225">
        <v>45664</v>
      </c>
      <c r="C225" t="s">
        <v>19</v>
      </c>
      <c r="D225" t="s">
        <v>20</v>
      </c>
      <c r="E225" t="s">
        <v>21</v>
      </c>
      <c r="F225" t="s">
        <v>22</v>
      </c>
      <c r="G225">
        <v>4</v>
      </c>
      <c r="H225">
        <v>58000</v>
      </c>
      <c r="I225">
        <f t="shared" si="19"/>
        <v>52200</v>
      </c>
      <c r="J225" s="4">
        <v>5</v>
      </c>
      <c r="K225">
        <f t="shared" si="15"/>
        <v>232000</v>
      </c>
      <c r="L225" t="s">
        <v>43</v>
      </c>
      <c r="M225">
        <f t="shared" si="16"/>
        <v>11600</v>
      </c>
      <c r="N225">
        <f t="shared" si="17"/>
        <v>11600</v>
      </c>
      <c r="O225" s="6">
        <f t="shared" si="18"/>
        <v>0.05</v>
      </c>
    </row>
    <row r="226" spans="1:15" x14ac:dyDescent="0.35">
      <c r="A226">
        <v>1225</v>
      </c>
      <c r="B226">
        <v>45667</v>
      </c>
      <c r="C226" t="s">
        <v>8</v>
      </c>
      <c r="D226" t="s">
        <v>13</v>
      </c>
      <c r="E226" t="s">
        <v>14</v>
      </c>
      <c r="F226" t="s">
        <v>23</v>
      </c>
      <c r="G226">
        <v>2</v>
      </c>
      <c r="H226">
        <v>11000</v>
      </c>
      <c r="I226">
        <f t="shared" si="19"/>
        <v>9900</v>
      </c>
      <c r="J226" s="4">
        <v>8</v>
      </c>
      <c r="K226">
        <f t="shared" si="15"/>
        <v>22000</v>
      </c>
      <c r="L226" t="s">
        <v>43</v>
      </c>
      <c r="M226">
        <f t="shared" si="16"/>
        <v>1760</v>
      </c>
      <c r="N226">
        <f t="shared" si="17"/>
        <v>440</v>
      </c>
      <c r="O226" s="6">
        <f t="shared" si="18"/>
        <v>0.02</v>
      </c>
    </row>
    <row r="227" spans="1:15" x14ac:dyDescent="0.35">
      <c r="A227">
        <v>1226</v>
      </c>
      <c r="B227">
        <v>45668</v>
      </c>
      <c r="C227" t="s">
        <v>12</v>
      </c>
      <c r="D227" t="s">
        <v>24</v>
      </c>
      <c r="E227" t="s">
        <v>10</v>
      </c>
      <c r="F227" t="s">
        <v>25</v>
      </c>
      <c r="G227">
        <v>6</v>
      </c>
      <c r="H227">
        <v>2200</v>
      </c>
      <c r="I227">
        <f t="shared" si="19"/>
        <v>1980</v>
      </c>
      <c r="J227" s="4">
        <v>0</v>
      </c>
      <c r="K227">
        <f t="shared" si="15"/>
        <v>13200</v>
      </c>
      <c r="L227" t="s">
        <v>43</v>
      </c>
      <c r="M227">
        <f t="shared" si="16"/>
        <v>0</v>
      </c>
      <c r="N227">
        <f t="shared" si="17"/>
        <v>1320</v>
      </c>
      <c r="O227" s="6">
        <f t="shared" si="18"/>
        <v>0.1</v>
      </c>
    </row>
    <row r="228" spans="1:15" x14ac:dyDescent="0.35">
      <c r="A228">
        <v>1227</v>
      </c>
      <c r="B228">
        <v>45670</v>
      </c>
      <c r="C228" t="s">
        <v>16</v>
      </c>
      <c r="D228" t="s">
        <v>9</v>
      </c>
      <c r="E228" t="s">
        <v>21</v>
      </c>
      <c r="F228" t="s">
        <v>26</v>
      </c>
      <c r="G228">
        <v>3</v>
      </c>
      <c r="H228">
        <v>3200</v>
      </c>
      <c r="I228">
        <f t="shared" si="19"/>
        <v>2880</v>
      </c>
      <c r="J228" s="4">
        <v>0</v>
      </c>
      <c r="K228">
        <f t="shared" si="15"/>
        <v>9600</v>
      </c>
      <c r="L228" t="s">
        <v>43</v>
      </c>
      <c r="M228">
        <f t="shared" si="16"/>
        <v>0</v>
      </c>
      <c r="N228">
        <f t="shared" si="17"/>
        <v>960</v>
      </c>
      <c r="O228" s="6">
        <f t="shared" si="18"/>
        <v>0.1</v>
      </c>
    </row>
    <row r="229" spans="1:15" x14ac:dyDescent="0.35">
      <c r="A229">
        <v>1228</v>
      </c>
      <c r="B229">
        <v>45672</v>
      </c>
      <c r="C229" t="s">
        <v>19</v>
      </c>
      <c r="D229" t="s">
        <v>27</v>
      </c>
      <c r="E229" t="s">
        <v>10</v>
      </c>
      <c r="F229" t="s">
        <v>11</v>
      </c>
      <c r="G229">
        <v>1</v>
      </c>
      <c r="H229">
        <v>47000</v>
      </c>
      <c r="I229">
        <f t="shared" si="19"/>
        <v>42300</v>
      </c>
      <c r="J229" s="4">
        <v>5</v>
      </c>
      <c r="K229">
        <f t="shared" si="15"/>
        <v>47000</v>
      </c>
      <c r="L229" t="s">
        <v>43</v>
      </c>
      <c r="M229">
        <f t="shared" si="16"/>
        <v>2350</v>
      </c>
      <c r="N229">
        <f t="shared" si="17"/>
        <v>2350</v>
      </c>
      <c r="O229" s="6">
        <f t="shared" si="18"/>
        <v>0.05</v>
      </c>
    </row>
    <row r="230" spans="1:15" x14ac:dyDescent="0.35">
      <c r="A230">
        <v>1229</v>
      </c>
      <c r="B230">
        <v>45675</v>
      </c>
      <c r="C230" t="s">
        <v>8</v>
      </c>
      <c r="D230" t="s">
        <v>28</v>
      </c>
      <c r="E230" t="s">
        <v>14</v>
      </c>
      <c r="F230" t="s">
        <v>29</v>
      </c>
      <c r="G230">
        <v>1</v>
      </c>
      <c r="H230">
        <v>59000</v>
      </c>
      <c r="I230">
        <f t="shared" si="19"/>
        <v>53100</v>
      </c>
      <c r="J230" s="4">
        <v>0</v>
      </c>
      <c r="K230">
        <f t="shared" si="15"/>
        <v>59000</v>
      </c>
      <c r="L230" t="s">
        <v>43</v>
      </c>
      <c r="M230">
        <f t="shared" si="16"/>
        <v>0</v>
      </c>
      <c r="N230">
        <f t="shared" si="17"/>
        <v>5900</v>
      </c>
      <c r="O230" s="6">
        <f t="shared" si="18"/>
        <v>0.1</v>
      </c>
    </row>
    <row r="231" spans="1:15" x14ac:dyDescent="0.35">
      <c r="A231">
        <v>1230</v>
      </c>
      <c r="B231">
        <v>45677</v>
      </c>
      <c r="C231" t="s">
        <v>12</v>
      </c>
      <c r="D231" t="s">
        <v>17</v>
      </c>
      <c r="E231" t="s">
        <v>21</v>
      </c>
      <c r="F231" t="s">
        <v>30</v>
      </c>
      <c r="G231">
        <v>10</v>
      </c>
      <c r="H231">
        <v>850</v>
      </c>
      <c r="I231">
        <f t="shared" si="19"/>
        <v>765</v>
      </c>
      <c r="J231" s="4">
        <v>2</v>
      </c>
      <c r="K231">
        <f t="shared" si="15"/>
        <v>8500</v>
      </c>
      <c r="L231" t="s">
        <v>43</v>
      </c>
      <c r="M231">
        <f t="shared" si="16"/>
        <v>170</v>
      </c>
      <c r="N231">
        <f t="shared" si="17"/>
        <v>680</v>
      </c>
      <c r="O231" s="6">
        <f t="shared" si="18"/>
        <v>0.08</v>
      </c>
    </row>
    <row r="232" spans="1:15" x14ac:dyDescent="0.35">
      <c r="A232">
        <v>1231</v>
      </c>
      <c r="B232">
        <v>45690</v>
      </c>
      <c r="C232" t="s">
        <v>16</v>
      </c>
      <c r="D232" t="s">
        <v>31</v>
      </c>
      <c r="E232" t="s">
        <v>10</v>
      </c>
      <c r="F232" t="s">
        <v>18</v>
      </c>
      <c r="G232">
        <v>2</v>
      </c>
      <c r="H232">
        <v>3500</v>
      </c>
      <c r="I232">
        <f t="shared" si="19"/>
        <v>3150</v>
      </c>
      <c r="J232" s="4">
        <v>0</v>
      </c>
      <c r="K232">
        <f t="shared" si="15"/>
        <v>7000</v>
      </c>
      <c r="L232" t="s">
        <v>44</v>
      </c>
      <c r="M232">
        <f t="shared" si="16"/>
        <v>0</v>
      </c>
      <c r="N232">
        <f t="shared" si="17"/>
        <v>700</v>
      </c>
      <c r="O232" s="6">
        <f t="shared" si="18"/>
        <v>0.1</v>
      </c>
    </row>
    <row r="233" spans="1:15" x14ac:dyDescent="0.35">
      <c r="A233">
        <v>1232</v>
      </c>
      <c r="B233">
        <v>45692</v>
      </c>
      <c r="C233" t="s">
        <v>19</v>
      </c>
      <c r="D233" t="s">
        <v>13</v>
      </c>
      <c r="E233" t="s">
        <v>14</v>
      </c>
      <c r="F233" t="s">
        <v>15</v>
      </c>
      <c r="G233">
        <v>3</v>
      </c>
      <c r="H233">
        <v>2600</v>
      </c>
      <c r="I233">
        <f t="shared" si="19"/>
        <v>2340</v>
      </c>
      <c r="J233" s="4">
        <v>5</v>
      </c>
      <c r="K233">
        <f t="shared" si="15"/>
        <v>7800</v>
      </c>
      <c r="L233" t="s">
        <v>44</v>
      </c>
      <c r="M233">
        <f t="shared" si="16"/>
        <v>390</v>
      </c>
      <c r="N233">
        <f t="shared" si="17"/>
        <v>390</v>
      </c>
      <c r="O233" s="6">
        <f t="shared" si="18"/>
        <v>0.05</v>
      </c>
    </row>
    <row r="234" spans="1:15" x14ac:dyDescent="0.35">
      <c r="A234">
        <v>1233</v>
      </c>
      <c r="B234">
        <v>45694</v>
      </c>
      <c r="C234" t="s">
        <v>8</v>
      </c>
      <c r="D234" t="s">
        <v>32</v>
      </c>
      <c r="E234" t="s">
        <v>21</v>
      </c>
      <c r="F234" t="s">
        <v>22</v>
      </c>
      <c r="G234">
        <v>2</v>
      </c>
      <c r="H234">
        <v>58000</v>
      </c>
      <c r="I234">
        <f t="shared" si="19"/>
        <v>52200</v>
      </c>
      <c r="J234" s="4">
        <v>0</v>
      </c>
      <c r="K234">
        <f t="shared" si="15"/>
        <v>116000</v>
      </c>
      <c r="L234" t="s">
        <v>44</v>
      </c>
      <c r="M234">
        <f t="shared" si="16"/>
        <v>0</v>
      </c>
      <c r="N234">
        <f t="shared" si="17"/>
        <v>11600</v>
      </c>
      <c r="O234" s="6">
        <f t="shared" si="18"/>
        <v>0.1</v>
      </c>
    </row>
    <row r="235" spans="1:15" x14ac:dyDescent="0.35">
      <c r="A235">
        <v>1234</v>
      </c>
      <c r="B235">
        <v>45696</v>
      </c>
      <c r="C235" t="s">
        <v>12</v>
      </c>
      <c r="D235" t="s">
        <v>20</v>
      </c>
      <c r="E235" t="s">
        <v>10</v>
      </c>
      <c r="F235" t="s">
        <v>11</v>
      </c>
      <c r="G235">
        <v>1</v>
      </c>
      <c r="H235">
        <v>11000</v>
      </c>
      <c r="I235">
        <f t="shared" si="19"/>
        <v>9900</v>
      </c>
      <c r="J235" s="4">
        <v>0</v>
      </c>
      <c r="K235">
        <f t="shared" si="15"/>
        <v>11000</v>
      </c>
      <c r="L235" t="s">
        <v>44</v>
      </c>
      <c r="M235">
        <f t="shared" si="16"/>
        <v>0</v>
      </c>
      <c r="N235">
        <f t="shared" si="17"/>
        <v>1100</v>
      </c>
      <c r="O235" s="6">
        <f t="shared" si="18"/>
        <v>0.1</v>
      </c>
    </row>
    <row r="236" spans="1:15" x14ac:dyDescent="0.35">
      <c r="A236">
        <v>1235</v>
      </c>
      <c r="B236">
        <v>45698</v>
      </c>
      <c r="C236" t="s">
        <v>16</v>
      </c>
      <c r="D236" t="s">
        <v>33</v>
      </c>
      <c r="E236" t="s">
        <v>14</v>
      </c>
      <c r="F236" t="s">
        <v>23</v>
      </c>
      <c r="G236">
        <v>1</v>
      </c>
      <c r="H236">
        <v>2200</v>
      </c>
      <c r="I236">
        <f t="shared" si="19"/>
        <v>1980</v>
      </c>
      <c r="J236" s="4">
        <v>9</v>
      </c>
      <c r="K236">
        <f t="shared" si="15"/>
        <v>2200</v>
      </c>
      <c r="L236" t="s">
        <v>44</v>
      </c>
      <c r="M236">
        <f t="shared" si="16"/>
        <v>198</v>
      </c>
      <c r="N236">
        <f t="shared" si="17"/>
        <v>22</v>
      </c>
      <c r="O236" s="6">
        <f t="shared" si="18"/>
        <v>0.01</v>
      </c>
    </row>
    <row r="237" spans="1:15" x14ac:dyDescent="0.35">
      <c r="A237">
        <v>1236</v>
      </c>
      <c r="B237">
        <v>45700</v>
      </c>
      <c r="C237" t="s">
        <v>19</v>
      </c>
      <c r="D237" t="s">
        <v>9</v>
      </c>
      <c r="E237" t="s">
        <v>10</v>
      </c>
      <c r="F237" t="s">
        <v>25</v>
      </c>
      <c r="G237">
        <v>4</v>
      </c>
      <c r="H237">
        <v>3200</v>
      </c>
      <c r="I237">
        <f t="shared" si="19"/>
        <v>2880</v>
      </c>
      <c r="J237" s="4">
        <v>5</v>
      </c>
      <c r="K237">
        <f t="shared" si="15"/>
        <v>12800</v>
      </c>
      <c r="L237" t="s">
        <v>44</v>
      </c>
      <c r="M237">
        <f t="shared" si="16"/>
        <v>640</v>
      </c>
      <c r="N237">
        <f t="shared" si="17"/>
        <v>640</v>
      </c>
      <c r="O237" s="6">
        <f t="shared" si="18"/>
        <v>0.05</v>
      </c>
    </row>
    <row r="238" spans="1:15" x14ac:dyDescent="0.35">
      <c r="A238">
        <v>1237</v>
      </c>
      <c r="B238">
        <v>45703</v>
      </c>
      <c r="C238" t="s">
        <v>8</v>
      </c>
      <c r="D238" t="s">
        <v>24</v>
      </c>
      <c r="E238" t="s">
        <v>21</v>
      </c>
      <c r="F238" t="s">
        <v>26</v>
      </c>
      <c r="G238">
        <v>2</v>
      </c>
      <c r="H238">
        <v>47000</v>
      </c>
      <c r="I238">
        <f t="shared" si="19"/>
        <v>42300</v>
      </c>
      <c r="J238" s="4">
        <v>0</v>
      </c>
      <c r="K238">
        <f t="shared" si="15"/>
        <v>94000</v>
      </c>
      <c r="L238" t="s">
        <v>44</v>
      </c>
      <c r="M238">
        <f t="shared" si="16"/>
        <v>0</v>
      </c>
      <c r="N238">
        <f t="shared" si="17"/>
        <v>9400</v>
      </c>
      <c r="O238" s="6">
        <f t="shared" si="18"/>
        <v>0.1</v>
      </c>
    </row>
    <row r="239" spans="1:15" x14ac:dyDescent="0.35">
      <c r="A239">
        <v>1238</v>
      </c>
      <c r="B239">
        <v>45706</v>
      </c>
      <c r="C239" t="s">
        <v>12</v>
      </c>
      <c r="D239" t="s">
        <v>27</v>
      </c>
      <c r="E239" t="s">
        <v>14</v>
      </c>
      <c r="F239" t="s">
        <v>29</v>
      </c>
      <c r="G239">
        <v>1</v>
      </c>
      <c r="H239">
        <v>59000</v>
      </c>
      <c r="I239">
        <f t="shared" si="19"/>
        <v>53100</v>
      </c>
      <c r="J239" s="4">
        <v>7</v>
      </c>
      <c r="K239">
        <f t="shared" si="15"/>
        <v>59000</v>
      </c>
      <c r="L239" t="s">
        <v>44</v>
      </c>
      <c r="M239">
        <f t="shared" si="16"/>
        <v>4130</v>
      </c>
      <c r="N239">
        <f t="shared" si="17"/>
        <v>1770</v>
      </c>
      <c r="O239" s="6">
        <f t="shared" si="18"/>
        <v>0.03</v>
      </c>
    </row>
    <row r="240" spans="1:15" x14ac:dyDescent="0.35">
      <c r="A240">
        <v>1239</v>
      </c>
      <c r="B240">
        <v>45708</v>
      </c>
      <c r="C240" t="s">
        <v>16</v>
      </c>
      <c r="D240" t="s">
        <v>28</v>
      </c>
      <c r="E240" t="s">
        <v>10</v>
      </c>
      <c r="F240" t="s">
        <v>11</v>
      </c>
      <c r="G240">
        <v>1</v>
      </c>
      <c r="H240">
        <v>850</v>
      </c>
      <c r="I240">
        <f t="shared" si="19"/>
        <v>765</v>
      </c>
      <c r="J240" s="4">
        <v>0</v>
      </c>
      <c r="K240">
        <f t="shared" si="15"/>
        <v>850</v>
      </c>
      <c r="L240" t="s">
        <v>44</v>
      </c>
      <c r="M240">
        <f t="shared" si="16"/>
        <v>0</v>
      </c>
      <c r="N240">
        <f t="shared" si="17"/>
        <v>85</v>
      </c>
      <c r="O240" s="6">
        <f t="shared" si="18"/>
        <v>0.1</v>
      </c>
    </row>
    <row r="241" spans="1:15" x14ac:dyDescent="0.35">
      <c r="A241">
        <v>1240</v>
      </c>
      <c r="B241">
        <v>45710</v>
      </c>
      <c r="C241" t="s">
        <v>19</v>
      </c>
      <c r="D241" t="s">
        <v>31</v>
      </c>
      <c r="E241" t="s">
        <v>21</v>
      </c>
      <c r="F241" t="s">
        <v>30</v>
      </c>
      <c r="G241">
        <v>5</v>
      </c>
      <c r="H241">
        <v>2500</v>
      </c>
      <c r="I241">
        <f t="shared" si="19"/>
        <v>2250</v>
      </c>
      <c r="J241" s="4">
        <v>0</v>
      </c>
      <c r="K241">
        <f t="shared" si="15"/>
        <v>12500</v>
      </c>
      <c r="L241" t="s">
        <v>44</v>
      </c>
      <c r="M241">
        <f t="shared" si="16"/>
        <v>0</v>
      </c>
      <c r="N241">
        <f t="shared" si="17"/>
        <v>1250</v>
      </c>
      <c r="O241" s="6">
        <f t="shared" si="18"/>
        <v>0.1</v>
      </c>
    </row>
    <row r="242" spans="1:15" x14ac:dyDescent="0.35">
      <c r="A242">
        <v>1241</v>
      </c>
      <c r="B242">
        <v>45660</v>
      </c>
      <c r="C242" t="s">
        <v>8</v>
      </c>
      <c r="D242" t="s">
        <v>9</v>
      </c>
      <c r="E242" t="s">
        <v>10</v>
      </c>
      <c r="F242" t="s">
        <v>11</v>
      </c>
      <c r="G242">
        <v>2</v>
      </c>
      <c r="H242">
        <v>12000</v>
      </c>
      <c r="I242">
        <f t="shared" si="19"/>
        <v>10800</v>
      </c>
      <c r="J242" s="4">
        <v>5</v>
      </c>
      <c r="K242">
        <f t="shared" si="15"/>
        <v>24000</v>
      </c>
      <c r="L242" t="s">
        <v>43</v>
      </c>
      <c r="M242">
        <f t="shared" si="16"/>
        <v>1200</v>
      </c>
      <c r="N242">
        <f t="shared" si="17"/>
        <v>1200</v>
      </c>
      <c r="O242" s="6">
        <f t="shared" si="18"/>
        <v>0.05</v>
      </c>
    </row>
    <row r="243" spans="1:15" x14ac:dyDescent="0.35">
      <c r="A243">
        <v>1242</v>
      </c>
      <c r="B243">
        <v>45662</v>
      </c>
      <c r="C243" t="s">
        <v>12</v>
      </c>
      <c r="D243" t="s">
        <v>13</v>
      </c>
      <c r="E243" t="s">
        <v>14</v>
      </c>
      <c r="F243" t="s">
        <v>15</v>
      </c>
      <c r="G243">
        <v>5</v>
      </c>
      <c r="H243">
        <v>2000</v>
      </c>
      <c r="I243">
        <f t="shared" si="19"/>
        <v>1800</v>
      </c>
      <c r="J243" s="4">
        <v>0</v>
      </c>
      <c r="K243">
        <f t="shared" si="15"/>
        <v>10000</v>
      </c>
      <c r="L243" t="s">
        <v>43</v>
      </c>
      <c r="M243">
        <f t="shared" si="16"/>
        <v>0</v>
      </c>
      <c r="N243">
        <f t="shared" si="17"/>
        <v>1000</v>
      </c>
      <c r="O243" s="6">
        <f t="shared" si="18"/>
        <v>0.1</v>
      </c>
    </row>
    <row r="244" spans="1:15" x14ac:dyDescent="0.35">
      <c r="A244">
        <v>1243</v>
      </c>
      <c r="B244">
        <v>45663</v>
      </c>
      <c r="C244" t="s">
        <v>16</v>
      </c>
      <c r="D244" t="s">
        <v>17</v>
      </c>
      <c r="E244" t="s">
        <v>10</v>
      </c>
      <c r="F244" t="s">
        <v>18</v>
      </c>
      <c r="G244">
        <v>3</v>
      </c>
      <c r="H244">
        <v>3000</v>
      </c>
      <c r="I244">
        <f t="shared" si="19"/>
        <v>2700</v>
      </c>
      <c r="J244" s="4">
        <v>0</v>
      </c>
      <c r="K244">
        <f t="shared" si="15"/>
        <v>9000</v>
      </c>
      <c r="L244" t="s">
        <v>43</v>
      </c>
      <c r="M244">
        <f t="shared" si="16"/>
        <v>0</v>
      </c>
      <c r="N244">
        <f t="shared" si="17"/>
        <v>900</v>
      </c>
      <c r="O244" s="6">
        <f t="shared" si="18"/>
        <v>0.1</v>
      </c>
    </row>
    <row r="245" spans="1:15" x14ac:dyDescent="0.35">
      <c r="A245">
        <v>1244</v>
      </c>
      <c r="B245">
        <v>45664</v>
      </c>
      <c r="C245" t="s">
        <v>19</v>
      </c>
      <c r="D245" t="s">
        <v>20</v>
      </c>
      <c r="E245" t="s">
        <v>21</v>
      </c>
      <c r="F245" t="s">
        <v>22</v>
      </c>
      <c r="G245">
        <v>4</v>
      </c>
      <c r="H245">
        <v>60000</v>
      </c>
      <c r="I245">
        <f t="shared" si="19"/>
        <v>54000</v>
      </c>
      <c r="J245" s="4">
        <v>5</v>
      </c>
      <c r="K245">
        <f t="shared" si="15"/>
        <v>240000</v>
      </c>
      <c r="L245" t="s">
        <v>43</v>
      </c>
      <c r="M245">
        <f t="shared" si="16"/>
        <v>12000</v>
      </c>
      <c r="N245">
        <f t="shared" si="17"/>
        <v>12000</v>
      </c>
      <c r="O245" s="6">
        <f t="shared" si="18"/>
        <v>0.05</v>
      </c>
    </row>
    <row r="246" spans="1:15" x14ac:dyDescent="0.35">
      <c r="A246">
        <v>1245</v>
      </c>
      <c r="B246">
        <v>45667</v>
      </c>
      <c r="C246" t="s">
        <v>8</v>
      </c>
      <c r="D246" t="s">
        <v>13</v>
      </c>
      <c r="E246" t="s">
        <v>14</v>
      </c>
      <c r="F246" t="s">
        <v>23</v>
      </c>
      <c r="G246">
        <v>2</v>
      </c>
      <c r="H246">
        <v>45000</v>
      </c>
      <c r="I246">
        <f t="shared" si="19"/>
        <v>40500</v>
      </c>
      <c r="J246" s="4">
        <v>7</v>
      </c>
      <c r="K246">
        <f t="shared" si="15"/>
        <v>90000</v>
      </c>
      <c r="L246" t="s">
        <v>43</v>
      </c>
      <c r="M246">
        <f t="shared" si="16"/>
        <v>6300.0000000000009</v>
      </c>
      <c r="N246">
        <f t="shared" si="17"/>
        <v>2699.9999999999991</v>
      </c>
      <c r="O246" s="6">
        <f t="shared" si="18"/>
        <v>2.9999999999999988E-2</v>
      </c>
    </row>
    <row r="247" spans="1:15" x14ac:dyDescent="0.35">
      <c r="A247">
        <v>1246</v>
      </c>
      <c r="B247">
        <v>45668</v>
      </c>
      <c r="C247" t="s">
        <v>12</v>
      </c>
      <c r="D247" t="s">
        <v>24</v>
      </c>
      <c r="E247" t="s">
        <v>10</v>
      </c>
      <c r="F247" t="s">
        <v>25</v>
      </c>
      <c r="G247">
        <v>6</v>
      </c>
      <c r="H247">
        <v>800</v>
      </c>
      <c r="I247">
        <f t="shared" si="19"/>
        <v>720</v>
      </c>
      <c r="J247" s="4">
        <v>0</v>
      </c>
      <c r="K247">
        <f t="shared" si="15"/>
        <v>4800</v>
      </c>
      <c r="L247" t="s">
        <v>43</v>
      </c>
      <c r="M247">
        <f t="shared" si="16"/>
        <v>0</v>
      </c>
      <c r="N247">
        <f t="shared" si="17"/>
        <v>480</v>
      </c>
      <c r="O247" s="6">
        <f t="shared" si="18"/>
        <v>0.1</v>
      </c>
    </row>
    <row r="248" spans="1:15" x14ac:dyDescent="0.35">
      <c r="A248">
        <v>1247</v>
      </c>
      <c r="B248">
        <v>45670</v>
      </c>
      <c r="C248" t="s">
        <v>16</v>
      </c>
      <c r="D248" t="s">
        <v>9</v>
      </c>
      <c r="E248" t="s">
        <v>21</v>
      </c>
      <c r="F248" t="s">
        <v>26</v>
      </c>
      <c r="G248">
        <v>3</v>
      </c>
      <c r="H248">
        <v>21000</v>
      </c>
      <c r="I248">
        <f t="shared" si="19"/>
        <v>18900</v>
      </c>
      <c r="J248" s="4">
        <v>0</v>
      </c>
      <c r="K248">
        <f t="shared" si="15"/>
        <v>63000</v>
      </c>
      <c r="L248" t="s">
        <v>43</v>
      </c>
      <c r="M248">
        <f t="shared" si="16"/>
        <v>0</v>
      </c>
      <c r="N248">
        <f t="shared" si="17"/>
        <v>6300</v>
      </c>
      <c r="O248" s="6">
        <f t="shared" si="18"/>
        <v>0.1</v>
      </c>
    </row>
    <row r="249" spans="1:15" x14ac:dyDescent="0.35">
      <c r="A249">
        <v>1248</v>
      </c>
      <c r="B249">
        <v>45672</v>
      </c>
      <c r="C249" t="s">
        <v>19</v>
      </c>
      <c r="D249" t="s">
        <v>27</v>
      </c>
      <c r="E249" t="s">
        <v>10</v>
      </c>
      <c r="F249" t="s">
        <v>11</v>
      </c>
      <c r="G249">
        <v>1</v>
      </c>
      <c r="H249">
        <v>3500</v>
      </c>
      <c r="I249">
        <f t="shared" si="19"/>
        <v>3150</v>
      </c>
      <c r="J249" s="4">
        <v>0</v>
      </c>
      <c r="K249">
        <f t="shared" si="15"/>
        <v>3500</v>
      </c>
      <c r="L249" t="s">
        <v>43</v>
      </c>
      <c r="M249">
        <f t="shared" si="16"/>
        <v>0</v>
      </c>
      <c r="N249">
        <f t="shared" si="17"/>
        <v>350</v>
      </c>
      <c r="O249" s="6">
        <f t="shared" si="18"/>
        <v>0.1</v>
      </c>
    </row>
    <row r="250" spans="1:15" x14ac:dyDescent="0.35">
      <c r="A250">
        <v>1249</v>
      </c>
      <c r="B250">
        <v>45675</v>
      </c>
      <c r="C250" t="s">
        <v>8</v>
      </c>
      <c r="D250" t="s">
        <v>28</v>
      </c>
      <c r="E250" t="s">
        <v>14</v>
      </c>
      <c r="F250" t="s">
        <v>29</v>
      </c>
      <c r="G250">
        <v>1</v>
      </c>
      <c r="H250">
        <v>2600</v>
      </c>
      <c r="I250">
        <f t="shared" si="19"/>
        <v>2340</v>
      </c>
      <c r="J250" s="4">
        <v>0</v>
      </c>
      <c r="K250">
        <f t="shared" si="15"/>
        <v>2600</v>
      </c>
      <c r="L250" t="s">
        <v>43</v>
      </c>
      <c r="M250">
        <f t="shared" si="16"/>
        <v>0</v>
      </c>
      <c r="N250">
        <f t="shared" si="17"/>
        <v>260</v>
      </c>
      <c r="O250" s="6">
        <f t="shared" si="18"/>
        <v>0.1</v>
      </c>
    </row>
    <row r="251" spans="1:15" x14ac:dyDescent="0.35">
      <c r="A251">
        <v>1250</v>
      </c>
      <c r="B251">
        <v>45677</v>
      </c>
      <c r="C251" t="s">
        <v>12</v>
      </c>
      <c r="D251" t="s">
        <v>17</v>
      </c>
      <c r="E251" t="s">
        <v>21</v>
      </c>
      <c r="F251" t="s">
        <v>30</v>
      </c>
      <c r="G251">
        <v>10</v>
      </c>
      <c r="H251">
        <v>58000</v>
      </c>
      <c r="I251">
        <f t="shared" si="19"/>
        <v>52200</v>
      </c>
      <c r="J251" s="4">
        <v>5</v>
      </c>
      <c r="K251">
        <f t="shared" si="15"/>
        <v>580000</v>
      </c>
      <c r="L251" t="s">
        <v>43</v>
      </c>
      <c r="M251">
        <f t="shared" si="16"/>
        <v>29000</v>
      </c>
      <c r="N251">
        <f t="shared" si="17"/>
        <v>29000</v>
      </c>
      <c r="O251" s="6">
        <f t="shared" si="18"/>
        <v>0.05</v>
      </c>
    </row>
    <row r="252" spans="1:15" x14ac:dyDescent="0.35">
      <c r="A252">
        <v>1251</v>
      </c>
      <c r="B252">
        <v>45690</v>
      </c>
      <c r="C252" t="s">
        <v>16</v>
      </c>
      <c r="D252" t="s">
        <v>31</v>
      </c>
      <c r="E252" t="s">
        <v>10</v>
      </c>
      <c r="F252" t="s">
        <v>18</v>
      </c>
      <c r="G252">
        <v>2</v>
      </c>
      <c r="H252">
        <v>11000</v>
      </c>
      <c r="I252">
        <f t="shared" si="19"/>
        <v>9900</v>
      </c>
      <c r="J252" s="4">
        <v>0</v>
      </c>
      <c r="K252">
        <f t="shared" si="15"/>
        <v>22000</v>
      </c>
      <c r="L252" t="s">
        <v>44</v>
      </c>
      <c r="M252">
        <f t="shared" si="16"/>
        <v>0</v>
      </c>
      <c r="N252">
        <f t="shared" si="17"/>
        <v>2200</v>
      </c>
      <c r="O252" s="6">
        <f t="shared" si="18"/>
        <v>0.1</v>
      </c>
    </row>
    <row r="253" spans="1:15" x14ac:dyDescent="0.35">
      <c r="A253">
        <v>1252</v>
      </c>
      <c r="B253">
        <v>45692</v>
      </c>
      <c r="C253" t="s">
        <v>19</v>
      </c>
      <c r="D253" t="s">
        <v>13</v>
      </c>
      <c r="E253" t="s">
        <v>14</v>
      </c>
      <c r="F253" t="s">
        <v>15</v>
      </c>
      <c r="G253">
        <v>3</v>
      </c>
      <c r="H253">
        <v>2200</v>
      </c>
      <c r="I253">
        <f t="shared" si="19"/>
        <v>1980</v>
      </c>
      <c r="J253" s="4">
        <v>0</v>
      </c>
      <c r="K253">
        <f t="shared" si="15"/>
        <v>6600</v>
      </c>
      <c r="L253" t="s">
        <v>44</v>
      </c>
      <c r="M253">
        <f t="shared" si="16"/>
        <v>0</v>
      </c>
      <c r="N253">
        <f t="shared" si="17"/>
        <v>660</v>
      </c>
      <c r="O253" s="6">
        <f t="shared" si="18"/>
        <v>0.1</v>
      </c>
    </row>
    <row r="254" spans="1:15" x14ac:dyDescent="0.35">
      <c r="A254">
        <v>1253</v>
      </c>
      <c r="B254">
        <v>45694</v>
      </c>
      <c r="C254" t="s">
        <v>8</v>
      </c>
      <c r="D254" t="s">
        <v>32</v>
      </c>
      <c r="E254" t="s">
        <v>21</v>
      </c>
      <c r="F254" t="s">
        <v>22</v>
      </c>
      <c r="G254">
        <v>2</v>
      </c>
      <c r="H254">
        <v>55000</v>
      </c>
      <c r="I254">
        <f t="shared" si="19"/>
        <v>49500</v>
      </c>
      <c r="J254" s="4">
        <v>5</v>
      </c>
      <c r="K254">
        <f t="shared" si="15"/>
        <v>110000</v>
      </c>
      <c r="L254" t="s">
        <v>44</v>
      </c>
      <c r="M254">
        <f t="shared" si="16"/>
        <v>5500</v>
      </c>
      <c r="N254">
        <f t="shared" si="17"/>
        <v>5500</v>
      </c>
      <c r="O254" s="6">
        <f t="shared" si="18"/>
        <v>0.05</v>
      </c>
    </row>
    <row r="255" spans="1:15" x14ac:dyDescent="0.35">
      <c r="A255">
        <v>1254</v>
      </c>
      <c r="B255">
        <v>45696</v>
      </c>
      <c r="C255" t="s">
        <v>12</v>
      </c>
      <c r="D255" t="s">
        <v>20</v>
      </c>
      <c r="E255" t="s">
        <v>10</v>
      </c>
      <c r="F255" t="s">
        <v>11</v>
      </c>
      <c r="G255">
        <v>1</v>
      </c>
      <c r="H255">
        <v>3500</v>
      </c>
      <c r="I255">
        <f t="shared" si="19"/>
        <v>3150</v>
      </c>
      <c r="J255" s="4">
        <v>8</v>
      </c>
      <c r="K255">
        <f t="shared" si="15"/>
        <v>3500</v>
      </c>
      <c r="L255" t="s">
        <v>44</v>
      </c>
      <c r="M255">
        <f t="shared" si="16"/>
        <v>280</v>
      </c>
      <c r="N255">
        <f t="shared" si="17"/>
        <v>70</v>
      </c>
      <c r="O255" s="6">
        <f t="shared" si="18"/>
        <v>0.02</v>
      </c>
    </row>
    <row r="256" spans="1:15" x14ac:dyDescent="0.35">
      <c r="A256">
        <v>1255</v>
      </c>
      <c r="B256">
        <v>45698</v>
      </c>
      <c r="C256" t="s">
        <v>16</v>
      </c>
      <c r="D256" t="s">
        <v>33</v>
      </c>
      <c r="E256" t="s">
        <v>14</v>
      </c>
      <c r="F256" t="s">
        <v>23</v>
      </c>
      <c r="G256">
        <v>1</v>
      </c>
      <c r="H256">
        <v>22000</v>
      </c>
      <c r="I256">
        <f t="shared" si="19"/>
        <v>19800</v>
      </c>
      <c r="J256" s="4">
        <v>0</v>
      </c>
      <c r="K256">
        <f t="shared" si="15"/>
        <v>22000</v>
      </c>
      <c r="L256" t="s">
        <v>44</v>
      </c>
      <c r="M256">
        <f t="shared" si="16"/>
        <v>0</v>
      </c>
      <c r="N256">
        <f t="shared" si="17"/>
        <v>2200</v>
      </c>
      <c r="O256" s="6">
        <f t="shared" si="18"/>
        <v>0.1</v>
      </c>
    </row>
    <row r="257" spans="1:15" x14ac:dyDescent="0.35">
      <c r="A257">
        <v>1256</v>
      </c>
      <c r="B257">
        <v>45700</v>
      </c>
      <c r="C257" t="s">
        <v>19</v>
      </c>
      <c r="D257" t="s">
        <v>9</v>
      </c>
      <c r="E257" t="s">
        <v>10</v>
      </c>
      <c r="F257" t="s">
        <v>25</v>
      </c>
      <c r="G257">
        <v>4</v>
      </c>
      <c r="H257">
        <v>2500</v>
      </c>
      <c r="I257">
        <f t="shared" si="19"/>
        <v>2250</v>
      </c>
      <c r="J257" s="4">
        <v>0</v>
      </c>
      <c r="K257">
        <f t="shared" si="15"/>
        <v>10000</v>
      </c>
      <c r="L257" t="s">
        <v>44</v>
      </c>
      <c r="M257">
        <f t="shared" si="16"/>
        <v>0</v>
      </c>
      <c r="N257">
        <f t="shared" si="17"/>
        <v>1000</v>
      </c>
      <c r="O257" s="6">
        <f t="shared" si="18"/>
        <v>0.1</v>
      </c>
    </row>
    <row r="258" spans="1:15" x14ac:dyDescent="0.35">
      <c r="A258">
        <v>1257</v>
      </c>
      <c r="B258">
        <v>45703</v>
      </c>
      <c r="C258" t="s">
        <v>8</v>
      </c>
      <c r="D258" t="s">
        <v>24</v>
      </c>
      <c r="E258" t="s">
        <v>21</v>
      </c>
      <c r="F258" t="s">
        <v>26</v>
      </c>
      <c r="G258">
        <v>2</v>
      </c>
      <c r="H258">
        <v>12000</v>
      </c>
      <c r="I258">
        <f t="shared" si="19"/>
        <v>10800</v>
      </c>
      <c r="J258" s="4">
        <v>5</v>
      </c>
      <c r="K258">
        <f t="shared" si="15"/>
        <v>24000</v>
      </c>
      <c r="L258" t="s">
        <v>44</v>
      </c>
      <c r="M258">
        <f t="shared" si="16"/>
        <v>1200</v>
      </c>
      <c r="N258">
        <f t="shared" si="17"/>
        <v>1200</v>
      </c>
      <c r="O258" s="6">
        <f t="shared" si="18"/>
        <v>0.05</v>
      </c>
    </row>
    <row r="259" spans="1:15" x14ac:dyDescent="0.35">
      <c r="A259">
        <v>1258</v>
      </c>
      <c r="B259">
        <v>45706</v>
      </c>
      <c r="C259" t="s">
        <v>12</v>
      </c>
      <c r="D259" t="s">
        <v>27</v>
      </c>
      <c r="E259" t="s">
        <v>14</v>
      </c>
      <c r="F259" t="s">
        <v>29</v>
      </c>
      <c r="G259">
        <v>1</v>
      </c>
      <c r="H259">
        <v>2000</v>
      </c>
      <c r="I259">
        <f t="shared" si="19"/>
        <v>1800</v>
      </c>
      <c r="J259" s="4">
        <v>0</v>
      </c>
      <c r="K259">
        <f t="shared" ref="K259:K322" si="20">H259*G259</f>
        <v>2000</v>
      </c>
      <c r="L259" t="s">
        <v>44</v>
      </c>
      <c r="M259">
        <f t="shared" ref="M259:M322" si="21">K259*(J259)%</f>
        <v>0</v>
      </c>
      <c r="N259">
        <f t="shared" ref="N259:N322" si="22">K259-(I259*G259)-M259</f>
        <v>200</v>
      </c>
      <c r="O259" s="6">
        <f t="shared" ref="O259:O322" si="23">N259/K259</f>
        <v>0.1</v>
      </c>
    </row>
    <row r="260" spans="1:15" x14ac:dyDescent="0.35">
      <c r="A260">
        <v>1259</v>
      </c>
      <c r="B260">
        <v>45708</v>
      </c>
      <c r="C260" t="s">
        <v>16</v>
      </c>
      <c r="D260" t="s">
        <v>28</v>
      </c>
      <c r="E260" t="s">
        <v>10</v>
      </c>
      <c r="F260" t="s">
        <v>11</v>
      </c>
      <c r="G260">
        <v>1</v>
      </c>
      <c r="H260">
        <v>3000</v>
      </c>
      <c r="I260">
        <f t="shared" si="19"/>
        <v>2700</v>
      </c>
      <c r="J260" s="4">
        <v>7</v>
      </c>
      <c r="K260">
        <f t="shared" si="20"/>
        <v>3000</v>
      </c>
      <c r="L260" t="s">
        <v>44</v>
      </c>
      <c r="M260">
        <f t="shared" si="21"/>
        <v>210.00000000000003</v>
      </c>
      <c r="N260">
        <f t="shared" si="22"/>
        <v>89.999999999999972</v>
      </c>
      <c r="O260" s="6">
        <f t="shared" si="23"/>
        <v>2.9999999999999992E-2</v>
      </c>
    </row>
    <row r="261" spans="1:15" x14ac:dyDescent="0.35">
      <c r="A261">
        <v>1260</v>
      </c>
      <c r="B261">
        <v>45710</v>
      </c>
      <c r="C261" t="s">
        <v>19</v>
      </c>
      <c r="D261" t="s">
        <v>31</v>
      </c>
      <c r="E261" t="s">
        <v>21</v>
      </c>
      <c r="F261" t="s">
        <v>30</v>
      </c>
      <c r="G261">
        <v>5</v>
      </c>
      <c r="H261">
        <v>60000</v>
      </c>
      <c r="I261">
        <f t="shared" si="19"/>
        <v>54000</v>
      </c>
      <c r="J261" s="4">
        <v>0</v>
      </c>
      <c r="K261">
        <f t="shared" si="20"/>
        <v>300000</v>
      </c>
      <c r="L261" t="s">
        <v>44</v>
      </c>
      <c r="M261">
        <f t="shared" si="21"/>
        <v>0</v>
      </c>
      <c r="N261">
        <f t="shared" si="22"/>
        <v>30000</v>
      </c>
      <c r="O261" s="6">
        <f t="shared" si="23"/>
        <v>0.1</v>
      </c>
    </row>
    <row r="262" spans="1:15" x14ac:dyDescent="0.35">
      <c r="A262">
        <v>1261</v>
      </c>
      <c r="B262">
        <v>45660</v>
      </c>
      <c r="C262" t="s">
        <v>8</v>
      </c>
      <c r="D262" t="s">
        <v>9</v>
      </c>
      <c r="E262" t="s">
        <v>10</v>
      </c>
      <c r="F262" t="s">
        <v>11</v>
      </c>
      <c r="G262">
        <v>2</v>
      </c>
      <c r="H262">
        <v>45000</v>
      </c>
      <c r="I262">
        <f t="shared" si="19"/>
        <v>40500</v>
      </c>
      <c r="J262" s="4">
        <v>5</v>
      </c>
      <c r="K262">
        <f t="shared" si="20"/>
        <v>90000</v>
      </c>
      <c r="L262" t="s">
        <v>43</v>
      </c>
      <c r="M262">
        <f t="shared" si="21"/>
        <v>4500</v>
      </c>
      <c r="N262">
        <f t="shared" si="22"/>
        <v>4500</v>
      </c>
      <c r="O262" s="6">
        <f t="shared" si="23"/>
        <v>0.05</v>
      </c>
    </row>
    <row r="263" spans="1:15" x14ac:dyDescent="0.35">
      <c r="A263">
        <v>1262</v>
      </c>
      <c r="B263">
        <v>45662</v>
      </c>
      <c r="C263" t="s">
        <v>12</v>
      </c>
      <c r="D263" t="s">
        <v>13</v>
      </c>
      <c r="E263" t="s">
        <v>14</v>
      </c>
      <c r="F263" t="s">
        <v>15</v>
      </c>
      <c r="G263">
        <v>5</v>
      </c>
      <c r="H263">
        <v>800</v>
      </c>
      <c r="I263">
        <f t="shared" si="19"/>
        <v>720</v>
      </c>
      <c r="J263" s="4">
        <v>0</v>
      </c>
      <c r="K263">
        <f t="shared" si="20"/>
        <v>4000</v>
      </c>
      <c r="L263" t="s">
        <v>43</v>
      </c>
      <c r="M263">
        <f t="shared" si="21"/>
        <v>0</v>
      </c>
      <c r="N263">
        <f t="shared" si="22"/>
        <v>400</v>
      </c>
      <c r="O263" s="6">
        <f t="shared" si="23"/>
        <v>0.1</v>
      </c>
    </row>
    <row r="264" spans="1:15" x14ac:dyDescent="0.35">
      <c r="A264">
        <v>1263</v>
      </c>
      <c r="B264">
        <v>45663</v>
      </c>
      <c r="C264" t="s">
        <v>16</v>
      </c>
      <c r="D264" t="s">
        <v>17</v>
      </c>
      <c r="E264" t="s">
        <v>10</v>
      </c>
      <c r="F264" t="s">
        <v>18</v>
      </c>
      <c r="G264">
        <v>3</v>
      </c>
      <c r="H264">
        <v>21000</v>
      </c>
      <c r="I264">
        <f t="shared" si="19"/>
        <v>18900</v>
      </c>
      <c r="J264" s="4">
        <v>0</v>
      </c>
      <c r="K264">
        <f t="shared" si="20"/>
        <v>63000</v>
      </c>
      <c r="L264" t="s">
        <v>43</v>
      </c>
      <c r="M264">
        <f t="shared" si="21"/>
        <v>0</v>
      </c>
      <c r="N264">
        <f t="shared" si="22"/>
        <v>6300</v>
      </c>
      <c r="O264" s="6">
        <f t="shared" si="23"/>
        <v>0.1</v>
      </c>
    </row>
    <row r="265" spans="1:15" x14ac:dyDescent="0.35">
      <c r="A265">
        <v>1264</v>
      </c>
      <c r="B265">
        <v>45664</v>
      </c>
      <c r="C265" t="s">
        <v>19</v>
      </c>
      <c r="D265" t="s">
        <v>20</v>
      </c>
      <c r="E265" t="s">
        <v>21</v>
      </c>
      <c r="F265" t="s">
        <v>22</v>
      </c>
      <c r="G265">
        <v>4</v>
      </c>
      <c r="H265">
        <v>3500</v>
      </c>
      <c r="I265">
        <f t="shared" si="19"/>
        <v>3150</v>
      </c>
      <c r="J265" s="4">
        <v>6</v>
      </c>
      <c r="K265">
        <f t="shared" si="20"/>
        <v>14000</v>
      </c>
      <c r="L265" t="s">
        <v>43</v>
      </c>
      <c r="M265">
        <f t="shared" si="21"/>
        <v>840</v>
      </c>
      <c r="N265">
        <f t="shared" si="22"/>
        <v>560</v>
      </c>
      <c r="O265" s="6">
        <f t="shared" si="23"/>
        <v>0.04</v>
      </c>
    </row>
    <row r="266" spans="1:15" x14ac:dyDescent="0.35">
      <c r="A266">
        <v>1265</v>
      </c>
      <c r="B266">
        <v>45667</v>
      </c>
      <c r="C266" t="s">
        <v>8</v>
      </c>
      <c r="D266" t="s">
        <v>13</v>
      </c>
      <c r="E266" t="s">
        <v>14</v>
      </c>
      <c r="F266" t="s">
        <v>23</v>
      </c>
      <c r="G266">
        <v>2</v>
      </c>
      <c r="H266">
        <v>2600</v>
      </c>
      <c r="I266">
        <f t="shared" si="19"/>
        <v>2340</v>
      </c>
      <c r="J266" s="4">
        <v>5</v>
      </c>
      <c r="K266">
        <f t="shared" si="20"/>
        <v>5200</v>
      </c>
      <c r="L266" t="s">
        <v>43</v>
      </c>
      <c r="M266">
        <f t="shared" si="21"/>
        <v>260</v>
      </c>
      <c r="N266">
        <f t="shared" si="22"/>
        <v>260</v>
      </c>
      <c r="O266" s="6">
        <f t="shared" si="23"/>
        <v>0.05</v>
      </c>
    </row>
    <row r="267" spans="1:15" x14ac:dyDescent="0.35">
      <c r="A267">
        <v>1266</v>
      </c>
      <c r="B267">
        <v>45668</v>
      </c>
      <c r="C267" t="s">
        <v>12</v>
      </c>
      <c r="D267" t="s">
        <v>24</v>
      </c>
      <c r="E267" t="s">
        <v>10</v>
      </c>
      <c r="F267" t="s">
        <v>25</v>
      </c>
      <c r="G267">
        <v>6</v>
      </c>
      <c r="H267">
        <v>58000</v>
      </c>
      <c r="I267">
        <f t="shared" si="19"/>
        <v>52200</v>
      </c>
      <c r="J267" s="4">
        <v>0</v>
      </c>
      <c r="K267">
        <f t="shared" si="20"/>
        <v>348000</v>
      </c>
      <c r="L267" t="s">
        <v>43</v>
      </c>
      <c r="M267">
        <f t="shared" si="21"/>
        <v>0</v>
      </c>
      <c r="N267">
        <f t="shared" si="22"/>
        <v>34800</v>
      </c>
      <c r="O267" s="6">
        <f t="shared" si="23"/>
        <v>0.1</v>
      </c>
    </row>
    <row r="268" spans="1:15" x14ac:dyDescent="0.35">
      <c r="A268">
        <v>1267</v>
      </c>
      <c r="B268">
        <v>45670</v>
      </c>
      <c r="C268" t="s">
        <v>16</v>
      </c>
      <c r="D268" t="s">
        <v>9</v>
      </c>
      <c r="E268" t="s">
        <v>21</v>
      </c>
      <c r="F268" t="s">
        <v>26</v>
      </c>
      <c r="G268">
        <v>3</v>
      </c>
      <c r="H268">
        <v>11000</v>
      </c>
      <c r="I268">
        <f t="shared" si="19"/>
        <v>9900</v>
      </c>
      <c r="J268" s="4">
        <v>7</v>
      </c>
      <c r="K268">
        <f t="shared" si="20"/>
        <v>33000</v>
      </c>
      <c r="L268" t="s">
        <v>43</v>
      </c>
      <c r="M268">
        <f t="shared" si="21"/>
        <v>2310</v>
      </c>
      <c r="N268">
        <f t="shared" si="22"/>
        <v>990</v>
      </c>
      <c r="O268" s="6">
        <f t="shared" si="23"/>
        <v>0.03</v>
      </c>
    </row>
    <row r="269" spans="1:15" x14ac:dyDescent="0.35">
      <c r="A269">
        <v>1268</v>
      </c>
      <c r="B269">
        <v>45672</v>
      </c>
      <c r="C269" t="s">
        <v>19</v>
      </c>
      <c r="D269" t="s">
        <v>27</v>
      </c>
      <c r="E269" t="s">
        <v>10</v>
      </c>
      <c r="F269" t="s">
        <v>11</v>
      </c>
      <c r="G269">
        <v>1</v>
      </c>
      <c r="H269">
        <v>2200</v>
      </c>
      <c r="I269">
        <f t="shared" si="19"/>
        <v>1980</v>
      </c>
      <c r="J269" s="4">
        <v>0</v>
      </c>
      <c r="K269">
        <f t="shared" si="20"/>
        <v>2200</v>
      </c>
      <c r="L269" t="s">
        <v>43</v>
      </c>
      <c r="M269">
        <f t="shared" si="21"/>
        <v>0</v>
      </c>
      <c r="N269">
        <f t="shared" si="22"/>
        <v>220</v>
      </c>
      <c r="O269" s="6">
        <f t="shared" si="23"/>
        <v>0.1</v>
      </c>
    </row>
    <row r="270" spans="1:15" x14ac:dyDescent="0.35">
      <c r="A270">
        <v>1269</v>
      </c>
      <c r="B270">
        <v>45675</v>
      </c>
      <c r="C270" t="s">
        <v>8</v>
      </c>
      <c r="D270" t="s">
        <v>28</v>
      </c>
      <c r="E270" t="s">
        <v>14</v>
      </c>
      <c r="F270" t="s">
        <v>29</v>
      </c>
      <c r="G270">
        <v>1</v>
      </c>
      <c r="H270">
        <v>3200</v>
      </c>
      <c r="I270">
        <f t="shared" si="19"/>
        <v>2880</v>
      </c>
      <c r="J270" s="4">
        <v>0</v>
      </c>
      <c r="K270">
        <f t="shared" si="20"/>
        <v>3200</v>
      </c>
      <c r="L270" t="s">
        <v>43</v>
      </c>
      <c r="M270">
        <f t="shared" si="21"/>
        <v>0</v>
      </c>
      <c r="N270">
        <f t="shared" si="22"/>
        <v>320</v>
      </c>
      <c r="O270" s="6">
        <f t="shared" si="23"/>
        <v>0.1</v>
      </c>
    </row>
    <row r="271" spans="1:15" x14ac:dyDescent="0.35">
      <c r="A271">
        <v>1270</v>
      </c>
      <c r="B271">
        <v>45677</v>
      </c>
      <c r="C271" t="s">
        <v>12</v>
      </c>
      <c r="D271" t="s">
        <v>17</v>
      </c>
      <c r="E271" t="s">
        <v>21</v>
      </c>
      <c r="F271" t="s">
        <v>30</v>
      </c>
      <c r="G271">
        <v>10</v>
      </c>
      <c r="H271">
        <v>47000</v>
      </c>
      <c r="I271">
        <f t="shared" si="19"/>
        <v>42300</v>
      </c>
      <c r="J271" s="4">
        <v>5</v>
      </c>
      <c r="K271">
        <f t="shared" si="20"/>
        <v>470000</v>
      </c>
      <c r="L271" t="s">
        <v>43</v>
      </c>
      <c r="M271">
        <f t="shared" si="21"/>
        <v>23500</v>
      </c>
      <c r="N271">
        <f t="shared" si="22"/>
        <v>23500</v>
      </c>
      <c r="O271" s="6">
        <f t="shared" si="23"/>
        <v>0.05</v>
      </c>
    </row>
    <row r="272" spans="1:15" x14ac:dyDescent="0.35">
      <c r="A272">
        <v>1271</v>
      </c>
      <c r="B272">
        <v>45690</v>
      </c>
      <c r="C272" t="s">
        <v>16</v>
      </c>
      <c r="D272" t="s">
        <v>31</v>
      </c>
      <c r="E272" t="s">
        <v>10</v>
      </c>
      <c r="F272" t="s">
        <v>18</v>
      </c>
      <c r="G272">
        <v>2</v>
      </c>
      <c r="H272">
        <v>59000</v>
      </c>
      <c r="I272">
        <f t="shared" si="19"/>
        <v>53100</v>
      </c>
      <c r="J272" s="4">
        <v>0</v>
      </c>
      <c r="K272">
        <f t="shared" si="20"/>
        <v>118000</v>
      </c>
      <c r="L272" t="s">
        <v>44</v>
      </c>
      <c r="M272">
        <f t="shared" si="21"/>
        <v>0</v>
      </c>
      <c r="N272">
        <f t="shared" si="22"/>
        <v>11800</v>
      </c>
      <c r="O272" s="6">
        <f t="shared" si="23"/>
        <v>0.1</v>
      </c>
    </row>
    <row r="273" spans="1:15" x14ac:dyDescent="0.35">
      <c r="A273">
        <v>1272</v>
      </c>
      <c r="B273">
        <v>45692</v>
      </c>
      <c r="C273" t="s">
        <v>19</v>
      </c>
      <c r="D273" t="s">
        <v>13</v>
      </c>
      <c r="E273" t="s">
        <v>14</v>
      </c>
      <c r="F273" t="s">
        <v>15</v>
      </c>
      <c r="G273">
        <v>3</v>
      </c>
      <c r="H273">
        <v>850</v>
      </c>
      <c r="I273">
        <f t="shared" si="19"/>
        <v>765</v>
      </c>
      <c r="J273" s="4">
        <v>0</v>
      </c>
      <c r="K273">
        <f t="shared" si="20"/>
        <v>2550</v>
      </c>
      <c r="L273" t="s">
        <v>44</v>
      </c>
      <c r="M273">
        <f t="shared" si="21"/>
        <v>0</v>
      </c>
      <c r="N273">
        <f t="shared" si="22"/>
        <v>255</v>
      </c>
      <c r="O273" s="6">
        <f t="shared" si="23"/>
        <v>0.1</v>
      </c>
    </row>
    <row r="274" spans="1:15" x14ac:dyDescent="0.35">
      <c r="A274">
        <v>1273</v>
      </c>
      <c r="B274">
        <v>45694</v>
      </c>
      <c r="C274" t="s">
        <v>8</v>
      </c>
      <c r="D274" t="s">
        <v>32</v>
      </c>
      <c r="E274" t="s">
        <v>21</v>
      </c>
      <c r="F274" t="s">
        <v>22</v>
      </c>
      <c r="G274">
        <v>2</v>
      </c>
      <c r="H274">
        <v>3500</v>
      </c>
      <c r="I274">
        <f t="shared" si="19"/>
        <v>3150</v>
      </c>
      <c r="J274" s="4">
        <v>5</v>
      </c>
      <c r="K274">
        <f t="shared" si="20"/>
        <v>7000</v>
      </c>
      <c r="L274" t="s">
        <v>44</v>
      </c>
      <c r="M274">
        <f t="shared" si="21"/>
        <v>350</v>
      </c>
      <c r="N274">
        <f t="shared" si="22"/>
        <v>350</v>
      </c>
      <c r="O274" s="6">
        <f t="shared" si="23"/>
        <v>0.05</v>
      </c>
    </row>
    <row r="275" spans="1:15" x14ac:dyDescent="0.35">
      <c r="A275">
        <v>1274</v>
      </c>
      <c r="B275">
        <v>45696</v>
      </c>
      <c r="C275" t="s">
        <v>12</v>
      </c>
      <c r="D275" t="s">
        <v>20</v>
      </c>
      <c r="E275" t="s">
        <v>10</v>
      </c>
      <c r="F275" t="s">
        <v>11</v>
      </c>
      <c r="G275">
        <v>1</v>
      </c>
      <c r="H275">
        <v>2600</v>
      </c>
      <c r="I275">
        <f t="shared" si="19"/>
        <v>2340</v>
      </c>
      <c r="J275" s="4">
        <v>4</v>
      </c>
      <c r="K275">
        <f t="shared" si="20"/>
        <v>2600</v>
      </c>
      <c r="L275" t="s">
        <v>44</v>
      </c>
      <c r="M275">
        <f t="shared" si="21"/>
        <v>104</v>
      </c>
      <c r="N275">
        <f t="shared" si="22"/>
        <v>156</v>
      </c>
      <c r="O275" s="6">
        <f t="shared" si="23"/>
        <v>0.06</v>
      </c>
    </row>
    <row r="276" spans="1:15" x14ac:dyDescent="0.35">
      <c r="A276">
        <v>1275</v>
      </c>
      <c r="B276">
        <v>45698</v>
      </c>
      <c r="C276" t="s">
        <v>16</v>
      </c>
      <c r="D276" t="s">
        <v>33</v>
      </c>
      <c r="E276" t="s">
        <v>14</v>
      </c>
      <c r="F276" t="s">
        <v>23</v>
      </c>
      <c r="G276">
        <v>1</v>
      </c>
      <c r="H276">
        <v>58000</v>
      </c>
      <c r="I276">
        <f t="shared" si="19"/>
        <v>52200</v>
      </c>
      <c r="J276" s="4">
        <v>0</v>
      </c>
      <c r="K276">
        <f t="shared" si="20"/>
        <v>58000</v>
      </c>
      <c r="L276" t="s">
        <v>44</v>
      </c>
      <c r="M276">
        <f t="shared" si="21"/>
        <v>0</v>
      </c>
      <c r="N276">
        <f t="shared" si="22"/>
        <v>5800</v>
      </c>
      <c r="O276" s="6">
        <f t="shared" si="23"/>
        <v>0.1</v>
      </c>
    </row>
    <row r="277" spans="1:15" x14ac:dyDescent="0.35">
      <c r="A277">
        <v>1276</v>
      </c>
      <c r="B277">
        <v>45700</v>
      </c>
      <c r="C277" t="s">
        <v>19</v>
      </c>
      <c r="D277" t="s">
        <v>9</v>
      </c>
      <c r="E277" t="s">
        <v>10</v>
      </c>
      <c r="F277" t="s">
        <v>25</v>
      </c>
      <c r="G277">
        <v>4</v>
      </c>
      <c r="H277">
        <v>11000</v>
      </c>
      <c r="I277">
        <f t="shared" si="19"/>
        <v>9900</v>
      </c>
      <c r="J277" s="4">
        <v>0</v>
      </c>
      <c r="K277">
        <f t="shared" si="20"/>
        <v>44000</v>
      </c>
      <c r="L277" t="s">
        <v>44</v>
      </c>
      <c r="M277">
        <f t="shared" si="21"/>
        <v>0</v>
      </c>
      <c r="N277">
        <f t="shared" si="22"/>
        <v>4400</v>
      </c>
      <c r="O277" s="6">
        <f t="shared" si="23"/>
        <v>0.1</v>
      </c>
    </row>
    <row r="278" spans="1:15" x14ac:dyDescent="0.35">
      <c r="A278">
        <v>1277</v>
      </c>
      <c r="B278">
        <v>45703</v>
      </c>
      <c r="C278" t="s">
        <v>8</v>
      </c>
      <c r="D278" t="s">
        <v>24</v>
      </c>
      <c r="E278" t="s">
        <v>21</v>
      </c>
      <c r="F278" t="s">
        <v>26</v>
      </c>
      <c r="G278">
        <v>2</v>
      </c>
      <c r="H278">
        <v>2200</v>
      </c>
      <c r="I278">
        <f t="shared" si="19"/>
        <v>1980</v>
      </c>
      <c r="J278" s="4">
        <v>5</v>
      </c>
      <c r="K278">
        <f t="shared" si="20"/>
        <v>4400</v>
      </c>
      <c r="L278" t="s">
        <v>44</v>
      </c>
      <c r="M278">
        <f t="shared" si="21"/>
        <v>220</v>
      </c>
      <c r="N278">
        <f t="shared" si="22"/>
        <v>220</v>
      </c>
      <c r="O278" s="6">
        <f t="shared" si="23"/>
        <v>0.05</v>
      </c>
    </row>
    <row r="279" spans="1:15" x14ac:dyDescent="0.35">
      <c r="A279">
        <v>1278</v>
      </c>
      <c r="B279">
        <v>45706</v>
      </c>
      <c r="C279" t="s">
        <v>12</v>
      </c>
      <c r="D279" t="s">
        <v>27</v>
      </c>
      <c r="E279" t="s">
        <v>14</v>
      </c>
      <c r="F279" t="s">
        <v>29</v>
      </c>
      <c r="G279">
        <v>1</v>
      </c>
      <c r="H279">
        <v>3200</v>
      </c>
      <c r="I279">
        <f t="shared" ref="I279:I342" si="24">H279*90%</f>
        <v>2880</v>
      </c>
      <c r="J279" s="4">
        <v>0</v>
      </c>
      <c r="K279">
        <f t="shared" si="20"/>
        <v>3200</v>
      </c>
      <c r="L279" t="s">
        <v>44</v>
      </c>
      <c r="M279">
        <f t="shared" si="21"/>
        <v>0</v>
      </c>
      <c r="N279">
        <f t="shared" si="22"/>
        <v>320</v>
      </c>
      <c r="O279" s="6">
        <f t="shared" si="23"/>
        <v>0.1</v>
      </c>
    </row>
    <row r="280" spans="1:15" x14ac:dyDescent="0.35">
      <c r="A280">
        <v>1279</v>
      </c>
      <c r="B280">
        <v>45708</v>
      </c>
      <c r="C280" t="s">
        <v>16</v>
      </c>
      <c r="D280" t="s">
        <v>28</v>
      </c>
      <c r="E280" t="s">
        <v>10</v>
      </c>
      <c r="F280" t="s">
        <v>11</v>
      </c>
      <c r="G280">
        <v>1</v>
      </c>
      <c r="H280">
        <v>47000</v>
      </c>
      <c r="I280">
        <f t="shared" si="24"/>
        <v>42300</v>
      </c>
      <c r="J280" s="4">
        <v>8</v>
      </c>
      <c r="K280">
        <f t="shared" si="20"/>
        <v>47000</v>
      </c>
      <c r="L280" t="s">
        <v>44</v>
      </c>
      <c r="M280">
        <f t="shared" si="21"/>
        <v>3760</v>
      </c>
      <c r="N280">
        <f t="shared" si="22"/>
        <v>940</v>
      </c>
      <c r="O280" s="6">
        <f t="shared" si="23"/>
        <v>0.02</v>
      </c>
    </row>
    <row r="281" spans="1:15" x14ac:dyDescent="0.35">
      <c r="A281">
        <v>1280</v>
      </c>
      <c r="B281">
        <v>45710</v>
      </c>
      <c r="C281" t="s">
        <v>19</v>
      </c>
      <c r="D281" t="s">
        <v>31</v>
      </c>
      <c r="E281" t="s">
        <v>21</v>
      </c>
      <c r="F281" t="s">
        <v>30</v>
      </c>
      <c r="G281">
        <v>5</v>
      </c>
      <c r="H281">
        <v>59000</v>
      </c>
      <c r="I281">
        <f t="shared" si="24"/>
        <v>53100</v>
      </c>
      <c r="J281" s="4">
        <v>0</v>
      </c>
      <c r="K281">
        <f t="shared" si="20"/>
        <v>295000</v>
      </c>
      <c r="L281" t="s">
        <v>44</v>
      </c>
      <c r="M281">
        <f t="shared" si="21"/>
        <v>0</v>
      </c>
      <c r="N281">
        <f t="shared" si="22"/>
        <v>29500</v>
      </c>
      <c r="O281" s="6">
        <f t="shared" si="23"/>
        <v>0.1</v>
      </c>
    </row>
    <row r="282" spans="1:15" x14ac:dyDescent="0.35">
      <c r="A282">
        <v>1281</v>
      </c>
      <c r="B282">
        <v>45660</v>
      </c>
      <c r="C282" t="s">
        <v>8</v>
      </c>
      <c r="D282" t="s">
        <v>9</v>
      </c>
      <c r="E282" t="s">
        <v>10</v>
      </c>
      <c r="F282" t="s">
        <v>11</v>
      </c>
      <c r="G282">
        <v>2</v>
      </c>
      <c r="H282">
        <v>850</v>
      </c>
      <c r="I282">
        <f t="shared" si="24"/>
        <v>765</v>
      </c>
      <c r="J282" s="4">
        <v>5</v>
      </c>
      <c r="K282">
        <f t="shared" si="20"/>
        <v>1700</v>
      </c>
      <c r="L282" t="s">
        <v>43</v>
      </c>
      <c r="M282">
        <f t="shared" si="21"/>
        <v>85</v>
      </c>
      <c r="N282">
        <f t="shared" si="22"/>
        <v>85</v>
      </c>
      <c r="O282" s="6">
        <f t="shared" si="23"/>
        <v>0.05</v>
      </c>
    </row>
    <row r="283" spans="1:15" x14ac:dyDescent="0.35">
      <c r="A283">
        <v>1282</v>
      </c>
      <c r="B283">
        <v>45662</v>
      </c>
      <c r="C283" t="s">
        <v>12</v>
      </c>
      <c r="D283" t="s">
        <v>13</v>
      </c>
      <c r="E283" t="s">
        <v>14</v>
      </c>
      <c r="F283" t="s">
        <v>15</v>
      </c>
      <c r="G283">
        <v>5</v>
      </c>
      <c r="H283">
        <v>2500</v>
      </c>
      <c r="I283">
        <f t="shared" si="24"/>
        <v>2250</v>
      </c>
      <c r="J283" s="4">
        <v>0</v>
      </c>
      <c r="K283">
        <f t="shared" si="20"/>
        <v>12500</v>
      </c>
      <c r="L283" t="s">
        <v>43</v>
      </c>
      <c r="M283">
        <f t="shared" si="21"/>
        <v>0</v>
      </c>
      <c r="N283">
        <f t="shared" si="22"/>
        <v>1250</v>
      </c>
      <c r="O283" s="6">
        <f t="shared" si="23"/>
        <v>0.1</v>
      </c>
    </row>
    <row r="284" spans="1:15" x14ac:dyDescent="0.35">
      <c r="A284">
        <v>1283</v>
      </c>
      <c r="B284">
        <v>45663</v>
      </c>
      <c r="C284" t="s">
        <v>16</v>
      </c>
      <c r="D284" t="s">
        <v>17</v>
      </c>
      <c r="E284" t="s">
        <v>10</v>
      </c>
      <c r="F284" t="s">
        <v>18</v>
      </c>
      <c r="G284">
        <v>3</v>
      </c>
      <c r="H284">
        <v>12000</v>
      </c>
      <c r="I284">
        <f t="shared" si="24"/>
        <v>10800</v>
      </c>
      <c r="J284" s="4">
        <v>0</v>
      </c>
      <c r="K284">
        <f t="shared" si="20"/>
        <v>36000</v>
      </c>
      <c r="L284" t="s">
        <v>43</v>
      </c>
      <c r="M284">
        <f t="shared" si="21"/>
        <v>0</v>
      </c>
      <c r="N284">
        <f t="shared" si="22"/>
        <v>3600</v>
      </c>
      <c r="O284" s="6">
        <f t="shared" si="23"/>
        <v>0.1</v>
      </c>
    </row>
    <row r="285" spans="1:15" x14ac:dyDescent="0.35">
      <c r="A285">
        <v>1284</v>
      </c>
      <c r="B285">
        <v>45664</v>
      </c>
      <c r="C285" t="s">
        <v>19</v>
      </c>
      <c r="D285" t="s">
        <v>20</v>
      </c>
      <c r="E285" t="s">
        <v>21</v>
      </c>
      <c r="F285" t="s">
        <v>22</v>
      </c>
      <c r="G285">
        <v>4</v>
      </c>
      <c r="H285">
        <v>2000</v>
      </c>
      <c r="I285">
        <f t="shared" si="24"/>
        <v>1800</v>
      </c>
      <c r="J285" s="4">
        <v>8</v>
      </c>
      <c r="K285">
        <f t="shared" si="20"/>
        <v>8000</v>
      </c>
      <c r="L285" t="s">
        <v>43</v>
      </c>
      <c r="M285">
        <f t="shared" si="21"/>
        <v>640</v>
      </c>
      <c r="N285">
        <f t="shared" si="22"/>
        <v>160</v>
      </c>
      <c r="O285" s="6">
        <f t="shared" si="23"/>
        <v>0.02</v>
      </c>
    </row>
    <row r="286" spans="1:15" x14ac:dyDescent="0.35">
      <c r="A286">
        <v>1285</v>
      </c>
      <c r="B286">
        <v>45667</v>
      </c>
      <c r="C286" t="s">
        <v>8</v>
      </c>
      <c r="D286" t="s">
        <v>13</v>
      </c>
      <c r="E286" t="s">
        <v>14</v>
      </c>
      <c r="F286" t="s">
        <v>23</v>
      </c>
      <c r="G286">
        <v>2</v>
      </c>
      <c r="H286">
        <v>3000</v>
      </c>
      <c r="I286">
        <f t="shared" si="24"/>
        <v>2700</v>
      </c>
      <c r="J286" s="4">
        <v>5</v>
      </c>
      <c r="K286">
        <f t="shared" si="20"/>
        <v>6000</v>
      </c>
      <c r="L286" t="s">
        <v>43</v>
      </c>
      <c r="M286">
        <f t="shared" si="21"/>
        <v>300</v>
      </c>
      <c r="N286">
        <f t="shared" si="22"/>
        <v>300</v>
      </c>
      <c r="O286" s="6">
        <f t="shared" si="23"/>
        <v>0.05</v>
      </c>
    </row>
    <row r="287" spans="1:15" x14ac:dyDescent="0.35">
      <c r="A287">
        <v>1286</v>
      </c>
      <c r="B287">
        <v>45668</v>
      </c>
      <c r="C287" t="s">
        <v>12</v>
      </c>
      <c r="D287" t="s">
        <v>24</v>
      </c>
      <c r="E287" t="s">
        <v>10</v>
      </c>
      <c r="F287" t="s">
        <v>25</v>
      </c>
      <c r="G287">
        <v>6</v>
      </c>
      <c r="H287">
        <v>60000</v>
      </c>
      <c r="I287">
        <f t="shared" si="24"/>
        <v>54000</v>
      </c>
      <c r="J287" s="4">
        <v>0</v>
      </c>
      <c r="K287">
        <f t="shared" si="20"/>
        <v>360000</v>
      </c>
      <c r="L287" t="s">
        <v>43</v>
      </c>
      <c r="M287">
        <f t="shared" si="21"/>
        <v>0</v>
      </c>
      <c r="N287">
        <f t="shared" si="22"/>
        <v>36000</v>
      </c>
      <c r="O287" s="6">
        <f t="shared" si="23"/>
        <v>0.1</v>
      </c>
    </row>
    <row r="288" spans="1:15" x14ac:dyDescent="0.35">
      <c r="A288">
        <v>1287</v>
      </c>
      <c r="B288">
        <v>45670</v>
      </c>
      <c r="C288" t="s">
        <v>16</v>
      </c>
      <c r="D288" t="s">
        <v>9</v>
      </c>
      <c r="E288" t="s">
        <v>21</v>
      </c>
      <c r="F288" t="s">
        <v>26</v>
      </c>
      <c r="G288">
        <v>3</v>
      </c>
      <c r="H288">
        <v>45000</v>
      </c>
      <c r="I288">
        <f t="shared" si="24"/>
        <v>40500</v>
      </c>
      <c r="J288" s="4">
        <v>2</v>
      </c>
      <c r="K288">
        <f t="shared" si="20"/>
        <v>135000</v>
      </c>
      <c r="L288" t="s">
        <v>43</v>
      </c>
      <c r="M288">
        <f t="shared" si="21"/>
        <v>2700</v>
      </c>
      <c r="N288">
        <f t="shared" si="22"/>
        <v>10800</v>
      </c>
      <c r="O288" s="6">
        <f t="shared" si="23"/>
        <v>0.08</v>
      </c>
    </row>
    <row r="289" spans="1:15" x14ac:dyDescent="0.35">
      <c r="A289">
        <v>1288</v>
      </c>
      <c r="B289">
        <v>45672</v>
      </c>
      <c r="C289" t="s">
        <v>19</v>
      </c>
      <c r="D289" t="s">
        <v>27</v>
      </c>
      <c r="E289" t="s">
        <v>10</v>
      </c>
      <c r="F289" t="s">
        <v>11</v>
      </c>
      <c r="G289">
        <v>1</v>
      </c>
      <c r="H289">
        <v>800</v>
      </c>
      <c r="I289">
        <f t="shared" si="24"/>
        <v>720</v>
      </c>
      <c r="J289" s="4">
        <v>0</v>
      </c>
      <c r="K289">
        <f t="shared" si="20"/>
        <v>800</v>
      </c>
      <c r="L289" t="s">
        <v>43</v>
      </c>
      <c r="M289">
        <f t="shared" si="21"/>
        <v>0</v>
      </c>
      <c r="N289">
        <f t="shared" si="22"/>
        <v>80</v>
      </c>
      <c r="O289" s="6">
        <f t="shared" si="23"/>
        <v>0.1</v>
      </c>
    </row>
    <row r="290" spans="1:15" x14ac:dyDescent="0.35">
      <c r="A290">
        <v>1289</v>
      </c>
      <c r="B290">
        <v>45675</v>
      </c>
      <c r="C290" t="s">
        <v>8</v>
      </c>
      <c r="D290" t="s">
        <v>28</v>
      </c>
      <c r="E290" t="s">
        <v>14</v>
      </c>
      <c r="F290" t="s">
        <v>29</v>
      </c>
      <c r="G290">
        <v>1</v>
      </c>
      <c r="H290">
        <v>21000</v>
      </c>
      <c r="I290">
        <f t="shared" si="24"/>
        <v>18900</v>
      </c>
      <c r="J290" s="4">
        <v>0</v>
      </c>
      <c r="K290">
        <f t="shared" si="20"/>
        <v>21000</v>
      </c>
      <c r="L290" t="s">
        <v>43</v>
      </c>
      <c r="M290">
        <f t="shared" si="21"/>
        <v>0</v>
      </c>
      <c r="N290">
        <f t="shared" si="22"/>
        <v>2100</v>
      </c>
      <c r="O290" s="6">
        <f t="shared" si="23"/>
        <v>0.1</v>
      </c>
    </row>
    <row r="291" spans="1:15" x14ac:dyDescent="0.35">
      <c r="A291">
        <v>1290</v>
      </c>
      <c r="B291">
        <v>45677</v>
      </c>
      <c r="C291" t="s">
        <v>12</v>
      </c>
      <c r="D291" t="s">
        <v>17</v>
      </c>
      <c r="E291" t="s">
        <v>21</v>
      </c>
      <c r="F291" t="s">
        <v>30</v>
      </c>
      <c r="G291">
        <v>10</v>
      </c>
      <c r="H291">
        <v>3500</v>
      </c>
      <c r="I291">
        <f t="shared" si="24"/>
        <v>3150</v>
      </c>
      <c r="J291" s="4">
        <v>5</v>
      </c>
      <c r="K291">
        <f t="shared" si="20"/>
        <v>35000</v>
      </c>
      <c r="L291" t="s">
        <v>43</v>
      </c>
      <c r="M291">
        <f t="shared" si="21"/>
        <v>1750</v>
      </c>
      <c r="N291">
        <f t="shared" si="22"/>
        <v>1750</v>
      </c>
      <c r="O291" s="6">
        <f t="shared" si="23"/>
        <v>0.05</v>
      </c>
    </row>
    <row r="292" spans="1:15" x14ac:dyDescent="0.35">
      <c r="A292">
        <v>1291</v>
      </c>
      <c r="B292">
        <v>45690</v>
      </c>
      <c r="C292" t="s">
        <v>16</v>
      </c>
      <c r="D292" t="s">
        <v>31</v>
      </c>
      <c r="E292" t="s">
        <v>10</v>
      </c>
      <c r="F292" t="s">
        <v>18</v>
      </c>
      <c r="G292">
        <v>2</v>
      </c>
      <c r="H292">
        <v>2600</v>
      </c>
      <c r="I292">
        <f t="shared" si="24"/>
        <v>2340</v>
      </c>
      <c r="J292" s="4">
        <v>0</v>
      </c>
      <c r="K292">
        <f t="shared" si="20"/>
        <v>5200</v>
      </c>
      <c r="L292" t="s">
        <v>44</v>
      </c>
      <c r="M292">
        <f t="shared" si="21"/>
        <v>0</v>
      </c>
      <c r="N292">
        <f t="shared" si="22"/>
        <v>520</v>
      </c>
      <c r="O292" s="6">
        <f t="shared" si="23"/>
        <v>0.1</v>
      </c>
    </row>
    <row r="293" spans="1:15" x14ac:dyDescent="0.35">
      <c r="A293">
        <v>1292</v>
      </c>
      <c r="B293">
        <v>45692</v>
      </c>
      <c r="C293" t="s">
        <v>19</v>
      </c>
      <c r="D293" t="s">
        <v>13</v>
      </c>
      <c r="E293" t="s">
        <v>14</v>
      </c>
      <c r="F293" t="s">
        <v>15</v>
      </c>
      <c r="G293">
        <v>3</v>
      </c>
      <c r="H293">
        <v>58000</v>
      </c>
      <c r="I293">
        <f t="shared" si="24"/>
        <v>52200</v>
      </c>
      <c r="J293" s="4">
        <v>0</v>
      </c>
      <c r="K293">
        <f t="shared" si="20"/>
        <v>174000</v>
      </c>
      <c r="L293" t="s">
        <v>44</v>
      </c>
      <c r="M293">
        <f t="shared" si="21"/>
        <v>0</v>
      </c>
      <c r="N293">
        <f t="shared" si="22"/>
        <v>17400</v>
      </c>
      <c r="O293" s="6">
        <f t="shared" si="23"/>
        <v>0.1</v>
      </c>
    </row>
    <row r="294" spans="1:15" x14ac:dyDescent="0.35">
      <c r="A294">
        <v>1293</v>
      </c>
      <c r="B294">
        <v>45694</v>
      </c>
      <c r="C294" t="s">
        <v>8</v>
      </c>
      <c r="D294" t="s">
        <v>32</v>
      </c>
      <c r="E294" t="s">
        <v>21</v>
      </c>
      <c r="F294" t="s">
        <v>22</v>
      </c>
      <c r="G294">
        <v>2</v>
      </c>
      <c r="H294">
        <v>11000</v>
      </c>
      <c r="I294">
        <f t="shared" si="24"/>
        <v>9900</v>
      </c>
      <c r="J294" s="4">
        <v>4</v>
      </c>
      <c r="K294">
        <f t="shared" si="20"/>
        <v>22000</v>
      </c>
      <c r="L294" t="s">
        <v>44</v>
      </c>
      <c r="M294">
        <f t="shared" si="21"/>
        <v>880</v>
      </c>
      <c r="N294">
        <f t="shared" si="22"/>
        <v>1320</v>
      </c>
      <c r="O294" s="6">
        <f t="shared" si="23"/>
        <v>0.06</v>
      </c>
    </row>
    <row r="295" spans="1:15" x14ac:dyDescent="0.35">
      <c r="A295">
        <v>1294</v>
      </c>
      <c r="B295">
        <v>45696</v>
      </c>
      <c r="C295" t="s">
        <v>12</v>
      </c>
      <c r="D295" t="s">
        <v>20</v>
      </c>
      <c r="E295" t="s">
        <v>10</v>
      </c>
      <c r="F295" t="s">
        <v>11</v>
      </c>
      <c r="G295">
        <v>1</v>
      </c>
      <c r="H295">
        <v>2200</v>
      </c>
      <c r="I295">
        <f t="shared" si="24"/>
        <v>1980</v>
      </c>
      <c r="J295" s="4">
        <v>8</v>
      </c>
      <c r="K295">
        <f t="shared" si="20"/>
        <v>2200</v>
      </c>
      <c r="L295" t="s">
        <v>44</v>
      </c>
      <c r="M295">
        <f t="shared" si="21"/>
        <v>176</v>
      </c>
      <c r="N295">
        <f t="shared" si="22"/>
        <v>44</v>
      </c>
      <c r="O295" s="6">
        <f t="shared" si="23"/>
        <v>0.02</v>
      </c>
    </row>
    <row r="296" spans="1:15" x14ac:dyDescent="0.35">
      <c r="A296">
        <v>1295</v>
      </c>
      <c r="B296">
        <v>45698</v>
      </c>
      <c r="C296" t="s">
        <v>16</v>
      </c>
      <c r="D296" t="s">
        <v>33</v>
      </c>
      <c r="E296" t="s">
        <v>14</v>
      </c>
      <c r="F296" t="s">
        <v>23</v>
      </c>
      <c r="G296">
        <v>1</v>
      </c>
      <c r="H296">
        <v>55000</v>
      </c>
      <c r="I296">
        <f t="shared" si="24"/>
        <v>49500</v>
      </c>
      <c r="J296" s="4">
        <v>0</v>
      </c>
      <c r="K296">
        <f t="shared" si="20"/>
        <v>55000</v>
      </c>
      <c r="L296" t="s">
        <v>44</v>
      </c>
      <c r="M296">
        <f t="shared" si="21"/>
        <v>0</v>
      </c>
      <c r="N296">
        <f t="shared" si="22"/>
        <v>5500</v>
      </c>
      <c r="O296" s="6">
        <f t="shared" si="23"/>
        <v>0.1</v>
      </c>
    </row>
    <row r="297" spans="1:15" x14ac:dyDescent="0.35">
      <c r="A297">
        <v>1296</v>
      </c>
      <c r="B297">
        <v>45700</v>
      </c>
      <c r="C297" t="s">
        <v>19</v>
      </c>
      <c r="D297" t="s">
        <v>9</v>
      </c>
      <c r="E297" t="s">
        <v>10</v>
      </c>
      <c r="F297" t="s">
        <v>25</v>
      </c>
      <c r="G297">
        <v>4</v>
      </c>
      <c r="H297">
        <v>3500</v>
      </c>
      <c r="I297">
        <f t="shared" si="24"/>
        <v>3150</v>
      </c>
      <c r="J297" s="4">
        <v>0</v>
      </c>
      <c r="K297">
        <f t="shared" si="20"/>
        <v>14000</v>
      </c>
      <c r="L297" t="s">
        <v>44</v>
      </c>
      <c r="M297">
        <f t="shared" si="21"/>
        <v>0</v>
      </c>
      <c r="N297">
        <f t="shared" si="22"/>
        <v>1400</v>
      </c>
      <c r="O297" s="6">
        <f t="shared" si="23"/>
        <v>0.1</v>
      </c>
    </row>
    <row r="298" spans="1:15" x14ac:dyDescent="0.35">
      <c r="A298">
        <v>1297</v>
      </c>
      <c r="B298">
        <v>45703</v>
      </c>
      <c r="C298" t="s">
        <v>8</v>
      </c>
      <c r="D298" t="s">
        <v>24</v>
      </c>
      <c r="E298" t="s">
        <v>21</v>
      </c>
      <c r="F298" t="s">
        <v>26</v>
      </c>
      <c r="G298">
        <v>2</v>
      </c>
      <c r="H298">
        <v>22000</v>
      </c>
      <c r="I298">
        <f t="shared" si="24"/>
        <v>19800</v>
      </c>
      <c r="J298" s="4">
        <v>5</v>
      </c>
      <c r="K298">
        <f t="shared" si="20"/>
        <v>44000</v>
      </c>
      <c r="L298" t="s">
        <v>44</v>
      </c>
      <c r="M298">
        <f t="shared" si="21"/>
        <v>2200</v>
      </c>
      <c r="N298">
        <f t="shared" si="22"/>
        <v>2200</v>
      </c>
      <c r="O298" s="6">
        <f t="shared" si="23"/>
        <v>0.05</v>
      </c>
    </row>
    <row r="299" spans="1:15" x14ac:dyDescent="0.35">
      <c r="A299">
        <v>1298</v>
      </c>
      <c r="B299">
        <v>45706</v>
      </c>
      <c r="C299" t="s">
        <v>12</v>
      </c>
      <c r="D299" t="s">
        <v>27</v>
      </c>
      <c r="E299" t="s">
        <v>14</v>
      </c>
      <c r="F299" t="s">
        <v>29</v>
      </c>
      <c r="G299">
        <v>1</v>
      </c>
      <c r="H299">
        <v>2500</v>
      </c>
      <c r="I299">
        <f t="shared" si="24"/>
        <v>2250</v>
      </c>
      <c r="J299" s="4">
        <v>0</v>
      </c>
      <c r="K299">
        <f t="shared" si="20"/>
        <v>2500</v>
      </c>
      <c r="L299" t="s">
        <v>44</v>
      </c>
      <c r="M299">
        <f t="shared" si="21"/>
        <v>0</v>
      </c>
      <c r="N299">
        <f t="shared" si="22"/>
        <v>250</v>
      </c>
      <c r="O299" s="6">
        <f t="shared" si="23"/>
        <v>0.1</v>
      </c>
    </row>
    <row r="300" spans="1:15" x14ac:dyDescent="0.35">
      <c r="A300">
        <v>1299</v>
      </c>
      <c r="B300">
        <v>45708</v>
      </c>
      <c r="C300" t="s">
        <v>16</v>
      </c>
      <c r="D300" t="s">
        <v>28</v>
      </c>
      <c r="E300" t="s">
        <v>10</v>
      </c>
      <c r="F300" t="s">
        <v>11</v>
      </c>
      <c r="G300">
        <v>1</v>
      </c>
      <c r="H300">
        <v>12000</v>
      </c>
      <c r="I300">
        <f t="shared" si="24"/>
        <v>10800</v>
      </c>
      <c r="J300" s="4">
        <v>8</v>
      </c>
      <c r="K300">
        <f t="shared" si="20"/>
        <v>12000</v>
      </c>
      <c r="L300" t="s">
        <v>44</v>
      </c>
      <c r="M300">
        <f t="shared" si="21"/>
        <v>960</v>
      </c>
      <c r="N300">
        <f t="shared" si="22"/>
        <v>240</v>
      </c>
      <c r="O300" s="6">
        <f t="shared" si="23"/>
        <v>0.02</v>
      </c>
    </row>
    <row r="301" spans="1:15" x14ac:dyDescent="0.35">
      <c r="A301">
        <v>1300</v>
      </c>
      <c r="B301">
        <v>45710</v>
      </c>
      <c r="C301" t="s">
        <v>19</v>
      </c>
      <c r="D301" t="s">
        <v>31</v>
      </c>
      <c r="E301" t="s">
        <v>21</v>
      </c>
      <c r="F301" t="s">
        <v>30</v>
      </c>
      <c r="G301">
        <v>5</v>
      </c>
      <c r="H301">
        <v>2000</v>
      </c>
      <c r="I301">
        <f t="shared" si="24"/>
        <v>1800</v>
      </c>
      <c r="J301" s="4">
        <v>0</v>
      </c>
      <c r="K301">
        <f t="shared" si="20"/>
        <v>10000</v>
      </c>
      <c r="L301" t="s">
        <v>44</v>
      </c>
      <c r="M301">
        <f t="shared" si="21"/>
        <v>0</v>
      </c>
      <c r="N301">
        <f t="shared" si="22"/>
        <v>1000</v>
      </c>
      <c r="O301" s="6">
        <f t="shared" si="23"/>
        <v>0.1</v>
      </c>
    </row>
    <row r="302" spans="1:15" x14ac:dyDescent="0.35">
      <c r="A302">
        <v>1301</v>
      </c>
      <c r="B302">
        <v>45660</v>
      </c>
      <c r="C302" t="s">
        <v>8</v>
      </c>
      <c r="D302" t="s">
        <v>9</v>
      </c>
      <c r="E302" t="s">
        <v>10</v>
      </c>
      <c r="F302" t="s">
        <v>11</v>
      </c>
      <c r="G302">
        <v>2</v>
      </c>
      <c r="H302">
        <v>3000</v>
      </c>
      <c r="I302">
        <f t="shared" si="24"/>
        <v>2700</v>
      </c>
      <c r="J302" s="4">
        <v>5</v>
      </c>
      <c r="K302">
        <f t="shared" si="20"/>
        <v>6000</v>
      </c>
      <c r="L302" t="s">
        <v>43</v>
      </c>
      <c r="M302">
        <f t="shared" si="21"/>
        <v>300</v>
      </c>
      <c r="N302">
        <f t="shared" si="22"/>
        <v>300</v>
      </c>
      <c r="O302" s="6">
        <f t="shared" si="23"/>
        <v>0.05</v>
      </c>
    </row>
    <row r="303" spans="1:15" x14ac:dyDescent="0.35">
      <c r="A303">
        <v>1302</v>
      </c>
      <c r="B303">
        <v>45662</v>
      </c>
      <c r="C303" t="s">
        <v>12</v>
      </c>
      <c r="D303" t="s">
        <v>13</v>
      </c>
      <c r="E303" t="s">
        <v>14</v>
      </c>
      <c r="F303" t="s">
        <v>15</v>
      </c>
      <c r="G303">
        <v>5</v>
      </c>
      <c r="H303">
        <v>60000</v>
      </c>
      <c r="I303">
        <f t="shared" si="24"/>
        <v>54000</v>
      </c>
      <c r="J303" s="4">
        <v>0</v>
      </c>
      <c r="K303">
        <f t="shared" si="20"/>
        <v>300000</v>
      </c>
      <c r="L303" t="s">
        <v>43</v>
      </c>
      <c r="M303">
        <f t="shared" si="21"/>
        <v>0</v>
      </c>
      <c r="N303">
        <f t="shared" si="22"/>
        <v>30000</v>
      </c>
      <c r="O303" s="6">
        <f t="shared" si="23"/>
        <v>0.1</v>
      </c>
    </row>
    <row r="304" spans="1:15" x14ac:dyDescent="0.35">
      <c r="A304">
        <v>1303</v>
      </c>
      <c r="B304">
        <v>45663</v>
      </c>
      <c r="C304" t="s">
        <v>16</v>
      </c>
      <c r="D304" t="s">
        <v>17</v>
      </c>
      <c r="E304" t="s">
        <v>10</v>
      </c>
      <c r="F304" t="s">
        <v>18</v>
      </c>
      <c r="G304">
        <v>3</v>
      </c>
      <c r="H304">
        <v>45000</v>
      </c>
      <c r="I304">
        <f t="shared" si="24"/>
        <v>40500</v>
      </c>
      <c r="J304" s="4">
        <v>0</v>
      </c>
      <c r="K304">
        <f t="shared" si="20"/>
        <v>135000</v>
      </c>
      <c r="L304" t="s">
        <v>43</v>
      </c>
      <c r="M304">
        <f t="shared" si="21"/>
        <v>0</v>
      </c>
      <c r="N304">
        <f t="shared" si="22"/>
        <v>13500</v>
      </c>
      <c r="O304" s="6">
        <f t="shared" si="23"/>
        <v>0.1</v>
      </c>
    </row>
    <row r="305" spans="1:15" x14ac:dyDescent="0.35">
      <c r="A305">
        <v>1304</v>
      </c>
      <c r="B305">
        <v>45664</v>
      </c>
      <c r="C305" t="s">
        <v>19</v>
      </c>
      <c r="D305" t="s">
        <v>20</v>
      </c>
      <c r="E305" t="s">
        <v>21</v>
      </c>
      <c r="F305" t="s">
        <v>22</v>
      </c>
      <c r="G305">
        <v>4</v>
      </c>
      <c r="H305">
        <v>800</v>
      </c>
      <c r="I305">
        <f t="shared" si="24"/>
        <v>720</v>
      </c>
      <c r="J305" s="4">
        <v>8</v>
      </c>
      <c r="K305">
        <f t="shared" si="20"/>
        <v>3200</v>
      </c>
      <c r="L305" t="s">
        <v>43</v>
      </c>
      <c r="M305">
        <f t="shared" si="21"/>
        <v>256</v>
      </c>
      <c r="N305">
        <f t="shared" si="22"/>
        <v>64</v>
      </c>
      <c r="O305" s="6">
        <f t="shared" si="23"/>
        <v>0.02</v>
      </c>
    </row>
    <row r="306" spans="1:15" x14ac:dyDescent="0.35">
      <c r="A306">
        <v>1305</v>
      </c>
      <c r="B306">
        <v>45667</v>
      </c>
      <c r="C306" t="s">
        <v>8</v>
      </c>
      <c r="D306" t="s">
        <v>13</v>
      </c>
      <c r="E306" t="s">
        <v>14</v>
      </c>
      <c r="F306" t="s">
        <v>23</v>
      </c>
      <c r="G306">
        <v>2</v>
      </c>
      <c r="H306">
        <v>21000</v>
      </c>
      <c r="I306">
        <f t="shared" si="24"/>
        <v>18900</v>
      </c>
      <c r="J306" s="4">
        <v>5</v>
      </c>
      <c r="K306">
        <f t="shared" si="20"/>
        <v>42000</v>
      </c>
      <c r="L306" t="s">
        <v>43</v>
      </c>
      <c r="M306">
        <f t="shared" si="21"/>
        <v>2100</v>
      </c>
      <c r="N306">
        <f t="shared" si="22"/>
        <v>2100</v>
      </c>
      <c r="O306" s="6">
        <f t="shared" si="23"/>
        <v>0.05</v>
      </c>
    </row>
    <row r="307" spans="1:15" x14ac:dyDescent="0.35">
      <c r="A307">
        <v>1306</v>
      </c>
      <c r="B307">
        <v>45668</v>
      </c>
      <c r="C307" t="s">
        <v>12</v>
      </c>
      <c r="D307" t="s">
        <v>24</v>
      </c>
      <c r="E307" t="s">
        <v>10</v>
      </c>
      <c r="F307" t="s">
        <v>25</v>
      </c>
      <c r="G307">
        <v>6</v>
      </c>
      <c r="H307">
        <v>3500</v>
      </c>
      <c r="I307">
        <f t="shared" si="24"/>
        <v>3150</v>
      </c>
      <c r="J307" s="4">
        <v>0</v>
      </c>
      <c r="K307">
        <f t="shared" si="20"/>
        <v>21000</v>
      </c>
      <c r="L307" t="s">
        <v>43</v>
      </c>
      <c r="M307">
        <f t="shared" si="21"/>
        <v>0</v>
      </c>
      <c r="N307">
        <f t="shared" si="22"/>
        <v>2100</v>
      </c>
      <c r="O307" s="6">
        <f t="shared" si="23"/>
        <v>0.1</v>
      </c>
    </row>
    <row r="308" spans="1:15" x14ac:dyDescent="0.35">
      <c r="A308">
        <v>1307</v>
      </c>
      <c r="B308">
        <v>45670</v>
      </c>
      <c r="C308" t="s">
        <v>16</v>
      </c>
      <c r="D308" t="s">
        <v>9</v>
      </c>
      <c r="E308" t="s">
        <v>21</v>
      </c>
      <c r="F308" t="s">
        <v>26</v>
      </c>
      <c r="G308">
        <v>3</v>
      </c>
      <c r="H308">
        <v>2600</v>
      </c>
      <c r="I308">
        <f t="shared" si="24"/>
        <v>2340</v>
      </c>
      <c r="J308" s="4">
        <v>6</v>
      </c>
      <c r="K308">
        <f t="shared" si="20"/>
        <v>7800</v>
      </c>
      <c r="L308" t="s">
        <v>43</v>
      </c>
      <c r="M308">
        <f t="shared" si="21"/>
        <v>468</v>
      </c>
      <c r="N308">
        <f t="shared" si="22"/>
        <v>312</v>
      </c>
      <c r="O308" s="6">
        <f t="shared" si="23"/>
        <v>0.04</v>
      </c>
    </row>
    <row r="309" spans="1:15" x14ac:dyDescent="0.35">
      <c r="A309">
        <v>1308</v>
      </c>
      <c r="B309">
        <v>45672</v>
      </c>
      <c r="C309" t="s">
        <v>19</v>
      </c>
      <c r="D309" t="s">
        <v>27</v>
      </c>
      <c r="E309" t="s">
        <v>10</v>
      </c>
      <c r="F309" t="s">
        <v>11</v>
      </c>
      <c r="G309">
        <v>1</v>
      </c>
      <c r="H309">
        <v>58000</v>
      </c>
      <c r="I309">
        <f t="shared" si="24"/>
        <v>52200</v>
      </c>
      <c r="J309" s="4">
        <v>0</v>
      </c>
      <c r="K309">
        <f t="shared" si="20"/>
        <v>58000</v>
      </c>
      <c r="L309" t="s">
        <v>43</v>
      </c>
      <c r="M309">
        <f t="shared" si="21"/>
        <v>0</v>
      </c>
      <c r="N309">
        <f t="shared" si="22"/>
        <v>5800</v>
      </c>
      <c r="O309" s="6">
        <f t="shared" si="23"/>
        <v>0.1</v>
      </c>
    </row>
    <row r="310" spans="1:15" x14ac:dyDescent="0.35">
      <c r="A310">
        <v>1309</v>
      </c>
      <c r="B310">
        <v>45675</v>
      </c>
      <c r="C310" t="s">
        <v>8</v>
      </c>
      <c r="D310" t="s">
        <v>28</v>
      </c>
      <c r="E310" t="s">
        <v>14</v>
      </c>
      <c r="F310" t="s">
        <v>29</v>
      </c>
      <c r="G310">
        <v>1</v>
      </c>
      <c r="H310">
        <v>11000</v>
      </c>
      <c r="I310">
        <f t="shared" si="24"/>
        <v>9900</v>
      </c>
      <c r="J310" s="4">
        <v>0</v>
      </c>
      <c r="K310">
        <f t="shared" si="20"/>
        <v>11000</v>
      </c>
      <c r="L310" t="s">
        <v>43</v>
      </c>
      <c r="M310">
        <f t="shared" si="21"/>
        <v>0</v>
      </c>
      <c r="N310">
        <f t="shared" si="22"/>
        <v>1100</v>
      </c>
      <c r="O310" s="6">
        <f t="shared" si="23"/>
        <v>0.1</v>
      </c>
    </row>
    <row r="311" spans="1:15" x14ac:dyDescent="0.35">
      <c r="A311">
        <v>1310</v>
      </c>
      <c r="B311">
        <v>45677</v>
      </c>
      <c r="C311" t="s">
        <v>12</v>
      </c>
      <c r="D311" t="s">
        <v>17</v>
      </c>
      <c r="E311" t="s">
        <v>21</v>
      </c>
      <c r="F311" t="s">
        <v>30</v>
      </c>
      <c r="G311">
        <v>10</v>
      </c>
      <c r="H311">
        <v>2200</v>
      </c>
      <c r="I311">
        <f t="shared" si="24"/>
        <v>1980</v>
      </c>
      <c r="J311" s="4">
        <v>5</v>
      </c>
      <c r="K311">
        <f t="shared" si="20"/>
        <v>22000</v>
      </c>
      <c r="L311" t="s">
        <v>43</v>
      </c>
      <c r="M311">
        <f t="shared" si="21"/>
        <v>1100</v>
      </c>
      <c r="N311">
        <f t="shared" si="22"/>
        <v>1100</v>
      </c>
      <c r="O311" s="6">
        <f t="shared" si="23"/>
        <v>0.05</v>
      </c>
    </row>
    <row r="312" spans="1:15" x14ac:dyDescent="0.35">
      <c r="A312">
        <v>1311</v>
      </c>
      <c r="B312">
        <v>45690</v>
      </c>
      <c r="C312" t="s">
        <v>16</v>
      </c>
      <c r="D312" t="s">
        <v>31</v>
      </c>
      <c r="E312" t="s">
        <v>10</v>
      </c>
      <c r="F312" t="s">
        <v>18</v>
      </c>
      <c r="G312">
        <v>2</v>
      </c>
      <c r="H312">
        <v>3200</v>
      </c>
      <c r="I312">
        <f t="shared" si="24"/>
        <v>2880</v>
      </c>
      <c r="J312" s="4">
        <v>0</v>
      </c>
      <c r="K312">
        <f t="shared" si="20"/>
        <v>6400</v>
      </c>
      <c r="L312" t="s">
        <v>44</v>
      </c>
      <c r="M312">
        <f t="shared" si="21"/>
        <v>0</v>
      </c>
      <c r="N312">
        <f t="shared" si="22"/>
        <v>640</v>
      </c>
      <c r="O312" s="6">
        <f t="shared" si="23"/>
        <v>0.1</v>
      </c>
    </row>
    <row r="313" spans="1:15" x14ac:dyDescent="0.35">
      <c r="A313">
        <v>1312</v>
      </c>
      <c r="B313">
        <v>45692</v>
      </c>
      <c r="C313" t="s">
        <v>19</v>
      </c>
      <c r="D313" t="s">
        <v>13</v>
      </c>
      <c r="E313" t="s">
        <v>14</v>
      </c>
      <c r="F313" t="s">
        <v>15</v>
      </c>
      <c r="G313">
        <v>3</v>
      </c>
      <c r="H313">
        <v>47000</v>
      </c>
      <c r="I313">
        <f t="shared" si="24"/>
        <v>42300</v>
      </c>
      <c r="J313" s="4">
        <v>0</v>
      </c>
      <c r="K313">
        <f t="shared" si="20"/>
        <v>141000</v>
      </c>
      <c r="L313" t="s">
        <v>44</v>
      </c>
      <c r="M313">
        <f t="shared" si="21"/>
        <v>0</v>
      </c>
      <c r="N313">
        <f t="shared" si="22"/>
        <v>14100</v>
      </c>
      <c r="O313" s="6">
        <f t="shared" si="23"/>
        <v>0.1</v>
      </c>
    </row>
    <row r="314" spans="1:15" x14ac:dyDescent="0.35">
      <c r="A314">
        <v>1313</v>
      </c>
      <c r="B314">
        <v>45694</v>
      </c>
      <c r="C314" t="s">
        <v>8</v>
      </c>
      <c r="D314" t="s">
        <v>32</v>
      </c>
      <c r="E314" t="s">
        <v>21</v>
      </c>
      <c r="F314" t="s">
        <v>22</v>
      </c>
      <c r="G314">
        <v>2</v>
      </c>
      <c r="H314">
        <v>59000</v>
      </c>
      <c r="I314">
        <f t="shared" si="24"/>
        <v>53100</v>
      </c>
      <c r="J314" s="4">
        <v>5</v>
      </c>
      <c r="K314">
        <f t="shared" si="20"/>
        <v>118000</v>
      </c>
      <c r="L314" t="s">
        <v>44</v>
      </c>
      <c r="M314">
        <f t="shared" si="21"/>
        <v>5900</v>
      </c>
      <c r="N314">
        <f t="shared" si="22"/>
        <v>5900</v>
      </c>
      <c r="O314" s="6">
        <f t="shared" si="23"/>
        <v>0.05</v>
      </c>
    </row>
    <row r="315" spans="1:15" x14ac:dyDescent="0.35">
      <c r="A315">
        <v>1314</v>
      </c>
      <c r="B315">
        <v>45696</v>
      </c>
      <c r="C315" t="s">
        <v>12</v>
      </c>
      <c r="D315" t="s">
        <v>20</v>
      </c>
      <c r="E315" t="s">
        <v>10</v>
      </c>
      <c r="F315" t="s">
        <v>11</v>
      </c>
      <c r="G315">
        <v>1</v>
      </c>
      <c r="H315">
        <v>850</v>
      </c>
      <c r="I315">
        <f t="shared" si="24"/>
        <v>765</v>
      </c>
      <c r="J315" s="4">
        <v>8</v>
      </c>
      <c r="K315">
        <f t="shared" si="20"/>
        <v>850</v>
      </c>
      <c r="L315" t="s">
        <v>44</v>
      </c>
      <c r="M315">
        <f t="shared" si="21"/>
        <v>68</v>
      </c>
      <c r="N315">
        <f t="shared" si="22"/>
        <v>17</v>
      </c>
      <c r="O315" s="6">
        <f t="shared" si="23"/>
        <v>0.02</v>
      </c>
    </row>
    <row r="316" spans="1:15" x14ac:dyDescent="0.35">
      <c r="A316">
        <v>1315</v>
      </c>
      <c r="B316">
        <v>45698</v>
      </c>
      <c r="C316" t="s">
        <v>16</v>
      </c>
      <c r="D316" t="s">
        <v>33</v>
      </c>
      <c r="E316" t="s">
        <v>14</v>
      </c>
      <c r="F316" t="s">
        <v>23</v>
      </c>
      <c r="G316">
        <v>1</v>
      </c>
      <c r="H316">
        <v>3500</v>
      </c>
      <c r="I316">
        <f t="shared" si="24"/>
        <v>3150</v>
      </c>
      <c r="J316" s="4">
        <v>0</v>
      </c>
      <c r="K316">
        <f t="shared" si="20"/>
        <v>3500</v>
      </c>
      <c r="L316" t="s">
        <v>44</v>
      </c>
      <c r="M316">
        <f t="shared" si="21"/>
        <v>0</v>
      </c>
      <c r="N316">
        <f t="shared" si="22"/>
        <v>350</v>
      </c>
      <c r="O316" s="6">
        <f t="shared" si="23"/>
        <v>0.1</v>
      </c>
    </row>
    <row r="317" spans="1:15" x14ac:dyDescent="0.35">
      <c r="A317">
        <v>1316</v>
      </c>
      <c r="B317">
        <v>45700</v>
      </c>
      <c r="C317" t="s">
        <v>19</v>
      </c>
      <c r="D317" t="s">
        <v>9</v>
      </c>
      <c r="E317" t="s">
        <v>10</v>
      </c>
      <c r="F317" t="s">
        <v>25</v>
      </c>
      <c r="G317">
        <v>4</v>
      </c>
      <c r="H317">
        <v>2600</v>
      </c>
      <c r="I317">
        <f t="shared" si="24"/>
        <v>2340</v>
      </c>
      <c r="J317" s="4">
        <v>0</v>
      </c>
      <c r="K317">
        <f t="shared" si="20"/>
        <v>10400</v>
      </c>
      <c r="L317" t="s">
        <v>44</v>
      </c>
      <c r="M317">
        <f t="shared" si="21"/>
        <v>0</v>
      </c>
      <c r="N317">
        <f t="shared" si="22"/>
        <v>1040</v>
      </c>
      <c r="O317" s="6">
        <f t="shared" si="23"/>
        <v>0.1</v>
      </c>
    </row>
    <row r="318" spans="1:15" x14ac:dyDescent="0.35">
      <c r="A318">
        <v>1317</v>
      </c>
      <c r="B318">
        <v>45703</v>
      </c>
      <c r="C318" t="s">
        <v>8</v>
      </c>
      <c r="D318" t="s">
        <v>24</v>
      </c>
      <c r="E318" t="s">
        <v>21</v>
      </c>
      <c r="F318" t="s">
        <v>26</v>
      </c>
      <c r="G318">
        <v>2</v>
      </c>
      <c r="H318">
        <v>58000</v>
      </c>
      <c r="I318">
        <f t="shared" si="24"/>
        <v>52200</v>
      </c>
      <c r="J318" s="4">
        <v>0</v>
      </c>
      <c r="K318">
        <f t="shared" si="20"/>
        <v>116000</v>
      </c>
      <c r="L318" t="s">
        <v>44</v>
      </c>
      <c r="M318">
        <f t="shared" si="21"/>
        <v>0</v>
      </c>
      <c r="N318">
        <f t="shared" si="22"/>
        <v>11600</v>
      </c>
      <c r="O318" s="6">
        <f t="shared" si="23"/>
        <v>0.1</v>
      </c>
    </row>
    <row r="319" spans="1:15" x14ac:dyDescent="0.35">
      <c r="A319">
        <v>1318</v>
      </c>
      <c r="B319">
        <v>45706</v>
      </c>
      <c r="C319" t="s">
        <v>12</v>
      </c>
      <c r="D319" t="s">
        <v>27</v>
      </c>
      <c r="E319" t="s">
        <v>14</v>
      </c>
      <c r="F319" t="s">
        <v>29</v>
      </c>
      <c r="G319">
        <v>1</v>
      </c>
      <c r="H319">
        <v>11000</v>
      </c>
      <c r="I319">
        <f t="shared" si="24"/>
        <v>9900</v>
      </c>
      <c r="J319" s="4">
        <v>0</v>
      </c>
      <c r="K319">
        <f t="shared" si="20"/>
        <v>11000</v>
      </c>
      <c r="L319" t="s">
        <v>44</v>
      </c>
      <c r="M319">
        <f t="shared" si="21"/>
        <v>0</v>
      </c>
      <c r="N319">
        <f t="shared" si="22"/>
        <v>1100</v>
      </c>
      <c r="O319" s="6">
        <f t="shared" si="23"/>
        <v>0.1</v>
      </c>
    </row>
    <row r="320" spans="1:15" x14ac:dyDescent="0.35">
      <c r="A320">
        <v>1319</v>
      </c>
      <c r="B320">
        <v>45708</v>
      </c>
      <c r="C320" t="s">
        <v>16</v>
      </c>
      <c r="D320" t="s">
        <v>28</v>
      </c>
      <c r="E320" t="s">
        <v>10</v>
      </c>
      <c r="F320" t="s">
        <v>11</v>
      </c>
      <c r="G320">
        <v>1</v>
      </c>
      <c r="H320">
        <v>2200</v>
      </c>
      <c r="I320">
        <f t="shared" si="24"/>
        <v>1980</v>
      </c>
      <c r="J320" s="4">
        <v>5</v>
      </c>
      <c r="K320">
        <f t="shared" si="20"/>
        <v>2200</v>
      </c>
      <c r="L320" t="s">
        <v>44</v>
      </c>
      <c r="M320">
        <f t="shared" si="21"/>
        <v>110</v>
      </c>
      <c r="N320">
        <f t="shared" si="22"/>
        <v>110</v>
      </c>
      <c r="O320" s="6">
        <f t="shared" si="23"/>
        <v>0.05</v>
      </c>
    </row>
    <row r="321" spans="1:15" x14ac:dyDescent="0.35">
      <c r="A321">
        <v>1320</v>
      </c>
      <c r="B321">
        <v>45710</v>
      </c>
      <c r="C321" t="s">
        <v>19</v>
      </c>
      <c r="D321" t="s">
        <v>31</v>
      </c>
      <c r="E321" t="s">
        <v>21</v>
      </c>
      <c r="F321" t="s">
        <v>30</v>
      </c>
      <c r="G321">
        <v>5</v>
      </c>
      <c r="H321">
        <v>3200</v>
      </c>
      <c r="I321">
        <f t="shared" si="24"/>
        <v>2880</v>
      </c>
      <c r="J321" s="4">
        <v>0</v>
      </c>
      <c r="K321">
        <f t="shared" si="20"/>
        <v>16000</v>
      </c>
      <c r="L321" t="s">
        <v>44</v>
      </c>
      <c r="M321">
        <f t="shared" si="21"/>
        <v>0</v>
      </c>
      <c r="N321">
        <f t="shared" si="22"/>
        <v>1600</v>
      </c>
      <c r="O321" s="6">
        <f t="shared" si="23"/>
        <v>0.1</v>
      </c>
    </row>
    <row r="322" spans="1:15" x14ac:dyDescent="0.35">
      <c r="A322">
        <v>1321</v>
      </c>
      <c r="B322">
        <v>45660</v>
      </c>
      <c r="C322" t="s">
        <v>8</v>
      </c>
      <c r="D322" t="s">
        <v>9</v>
      </c>
      <c r="E322" t="s">
        <v>10</v>
      </c>
      <c r="F322" t="s">
        <v>11</v>
      </c>
      <c r="G322">
        <v>2</v>
      </c>
      <c r="H322">
        <v>47000</v>
      </c>
      <c r="I322">
        <f t="shared" si="24"/>
        <v>42300</v>
      </c>
      <c r="J322" s="4">
        <v>0</v>
      </c>
      <c r="K322">
        <f t="shared" si="20"/>
        <v>94000</v>
      </c>
      <c r="L322" t="s">
        <v>43</v>
      </c>
      <c r="M322">
        <f t="shared" si="21"/>
        <v>0</v>
      </c>
      <c r="N322">
        <f t="shared" si="22"/>
        <v>9400</v>
      </c>
      <c r="O322" s="6">
        <f t="shared" si="23"/>
        <v>0.1</v>
      </c>
    </row>
    <row r="323" spans="1:15" x14ac:dyDescent="0.35">
      <c r="A323">
        <v>1322</v>
      </c>
      <c r="B323">
        <v>45662</v>
      </c>
      <c r="C323" t="s">
        <v>12</v>
      </c>
      <c r="D323" t="s">
        <v>13</v>
      </c>
      <c r="E323" t="s">
        <v>14</v>
      </c>
      <c r="F323" t="s">
        <v>15</v>
      </c>
      <c r="G323">
        <v>5</v>
      </c>
      <c r="H323">
        <v>59000</v>
      </c>
      <c r="I323">
        <f t="shared" si="24"/>
        <v>53100</v>
      </c>
      <c r="J323" s="4">
        <v>5</v>
      </c>
      <c r="K323">
        <f t="shared" ref="K323:K352" si="25">H323*G323</f>
        <v>295000</v>
      </c>
      <c r="L323" t="s">
        <v>43</v>
      </c>
      <c r="M323">
        <f t="shared" ref="M323:M352" si="26">K323*(J323)%</f>
        <v>14750</v>
      </c>
      <c r="N323">
        <f t="shared" ref="N323:N352" si="27">K323-(I323*G323)-M323</f>
        <v>14750</v>
      </c>
      <c r="O323" s="6">
        <f t="shared" ref="O323:O352" si="28">N323/K323</f>
        <v>0.05</v>
      </c>
    </row>
    <row r="324" spans="1:15" x14ac:dyDescent="0.35">
      <c r="A324">
        <v>1323</v>
      </c>
      <c r="B324">
        <v>45663</v>
      </c>
      <c r="C324" t="s">
        <v>16</v>
      </c>
      <c r="D324" t="s">
        <v>17</v>
      </c>
      <c r="E324" t="s">
        <v>10</v>
      </c>
      <c r="F324" t="s">
        <v>18</v>
      </c>
      <c r="G324">
        <v>3</v>
      </c>
      <c r="H324">
        <v>850</v>
      </c>
      <c r="I324">
        <f t="shared" si="24"/>
        <v>765</v>
      </c>
      <c r="J324" s="4">
        <v>6</v>
      </c>
      <c r="K324">
        <f t="shared" si="25"/>
        <v>2550</v>
      </c>
      <c r="L324" t="s">
        <v>43</v>
      </c>
      <c r="M324">
        <f t="shared" si="26"/>
        <v>153</v>
      </c>
      <c r="N324">
        <f t="shared" si="27"/>
        <v>102</v>
      </c>
      <c r="O324" s="6">
        <f t="shared" si="28"/>
        <v>0.04</v>
      </c>
    </row>
    <row r="325" spans="1:15" x14ac:dyDescent="0.35">
      <c r="A325">
        <v>1324</v>
      </c>
      <c r="B325">
        <v>45664</v>
      </c>
      <c r="C325" t="s">
        <v>19</v>
      </c>
      <c r="D325" t="s">
        <v>20</v>
      </c>
      <c r="E325" t="s">
        <v>21</v>
      </c>
      <c r="F325" t="s">
        <v>22</v>
      </c>
      <c r="G325">
        <v>4</v>
      </c>
      <c r="H325">
        <v>2500</v>
      </c>
      <c r="I325">
        <f t="shared" si="24"/>
        <v>2250</v>
      </c>
      <c r="J325" s="4">
        <v>0</v>
      </c>
      <c r="K325">
        <f t="shared" si="25"/>
        <v>10000</v>
      </c>
      <c r="L325" t="s">
        <v>43</v>
      </c>
      <c r="M325">
        <f t="shared" si="26"/>
        <v>0</v>
      </c>
      <c r="N325">
        <f t="shared" si="27"/>
        <v>1000</v>
      </c>
      <c r="O325" s="6">
        <f t="shared" si="28"/>
        <v>0.1</v>
      </c>
    </row>
    <row r="326" spans="1:15" x14ac:dyDescent="0.35">
      <c r="A326">
        <v>1325</v>
      </c>
      <c r="B326">
        <v>45667</v>
      </c>
      <c r="C326" t="s">
        <v>8</v>
      </c>
      <c r="D326" t="s">
        <v>13</v>
      </c>
      <c r="E326" t="s">
        <v>14</v>
      </c>
      <c r="F326" t="s">
        <v>23</v>
      </c>
      <c r="G326">
        <v>2</v>
      </c>
      <c r="H326">
        <v>12000</v>
      </c>
      <c r="I326">
        <f t="shared" si="24"/>
        <v>10800</v>
      </c>
      <c r="J326" s="4">
        <v>0</v>
      </c>
      <c r="K326">
        <f t="shared" si="25"/>
        <v>24000</v>
      </c>
      <c r="L326" t="s">
        <v>43</v>
      </c>
      <c r="M326">
        <f t="shared" si="26"/>
        <v>0</v>
      </c>
      <c r="N326">
        <f t="shared" si="27"/>
        <v>2400</v>
      </c>
      <c r="O326" s="6">
        <f t="shared" si="28"/>
        <v>0.1</v>
      </c>
    </row>
    <row r="327" spans="1:15" x14ac:dyDescent="0.35">
      <c r="A327">
        <v>1326</v>
      </c>
      <c r="B327">
        <v>45668</v>
      </c>
      <c r="C327" t="s">
        <v>12</v>
      </c>
      <c r="D327" t="s">
        <v>24</v>
      </c>
      <c r="E327" t="s">
        <v>10</v>
      </c>
      <c r="F327" t="s">
        <v>25</v>
      </c>
      <c r="G327">
        <v>6</v>
      </c>
      <c r="H327">
        <v>2000</v>
      </c>
      <c r="I327">
        <f t="shared" si="24"/>
        <v>1800</v>
      </c>
      <c r="J327" s="4">
        <v>5</v>
      </c>
      <c r="K327">
        <f t="shared" si="25"/>
        <v>12000</v>
      </c>
      <c r="L327" t="s">
        <v>43</v>
      </c>
      <c r="M327">
        <f t="shared" si="26"/>
        <v>600</v>
      </c>
      <c r="N327">
        <f t="shared" si="27"/>
        <v>600</v>
      </c>
      <c r="O327" s="6">
        <f t="shared" si="28"/>
        <v>0.05</v>
      </c>
    </row>
    <row r="328" spans="1:15" x14ac:dyDescent="0.35">
      <c r="A328">
        <v>1327</v>
      </c>
      <c r="B328">
        <v>45670</v>
      </c>
      <c r="C328" t="s">
        <v>16</v>
      </c>
      <c r="D328" t="s">
        <v>9</v>
      </c>
      <c r="E328" t="s">
        <v>21</v>
      </c>
      <c r="F328" t="s">
        <v>26</v>
      </c>
      <c r="G328">
        <v>3</v>
      </c>
      <c r="H328">
        <v>3000</v>
      </c>
      <c r="I328">
        <f t="shared" si="24"/>
        <v>2700</v>
      </c>
      <c r="J328" s="4">
        <v>0</v>
      </c>
      <c r="K328">
        <f t="shared" si="25"/>
        <v>9000</v>
      </c>
      <c r="L328" t="s">
        <v>43</v>
      </c>
      <c r="M328">
        <f t="shared" si="26"/>
        <v>0</v>
      </c>
      <c r="N328">
        <f t="shared" si="27"/>
        <v>900</v>
      </c>
      <c r="O328" s="6">
        <f t="shared" si="28"/>
        <v>0.1</v>
      </c>
    </row>
    <row r="329" spans="1:15" x14ac:dyDescent="0.35">
      <c r="A329">
        <v>1328</v>
      </c>
      <c r="B329">
        <v>45672</v>
      </c>
      <c r="C329" t="s">
        <v>19</v>
      </c>
      <c r="D329" t="s">
        <v>27</v>
      </c>
      <c r="E329" t="s">
        <v>10</v>
      </c>
      <c r="F329" t="s">
        <v>11</v>
      </c>
      <c r="G329">
        <v>1</v>
      </c>
      <c r="H329">
        <v>60000</v>
      </c>
      <c r="I329">
        <f t="shared" si="24"/>
        <v>54000</v>
      </c>
      <c r="J329" s="4">
        <v>7</v>
      </c>
      <c r="K329">
        <f t="shared" si="25"/>
        <v>60000</v>
      </c>
      <c r="L329" t="s">
        <v>43</v>
      </c>
      <c r="M329">
        <f t="shared" si="26"/>
        <v>4200</v>
      </c>
      <c r="N329">
        <f t="shared" si="27"/>
        <v>1800</v>
      </c>
      <c r="O329" s="6">
        <f t="shared" si="28"/>
        <v>0.03</v>
      </c>
    </row>
    <row r="330" spans="1:15" x14ac:dyDescent="0.35">
      <c r="A330">
        <v>1329</v>
      </c>
      <c r="B330">
        <v>45675</v>
      </c>
      <c r="C330" t="s">
        <v>8</v>
      </c>
      <c r="D330" t="s">
        <v>28</v>
      </c>
      <c r="E330" t="s">
        <v>14</v>
      </c>
      <c r="F330" t="s">
        <v>29</v>
      </c>
      <c r="G330">
        <v>1</v>
      </c>
      <c r="H330">
        <v>45000</v>
      </c>
      <c r="I330">
        <f t="shared" si="24"/>
        <v>40500</v>
      </c>
      <c r="J330" s="4">
        <v>0</v>
      </c>
      <c r="K330">
        <f t="shared" si="25"/>
        <v>45000</v>
      </c>
      <c r="L330" t="s">
        <v>43</v>
      </c>
      <c r="M330">
        <f t="shared" si="26"/>
        <v>0</v>
      </c>
      <c r="N330">
        <f t="shared" si="27"/>
        <v>4500</v>
      </c>
      <c r="O330" s="6">
        <f t="shared" si="28"/>
        <v>0.1</v>
      </c>
    </row>
    <row r="331" spans="1:15" x14ac:dyDescent="0.35">
      <c r="A331">
        <v>1330</v>
      </c>
      <c r="B331">
        <v>45677</v>
      </c>
      <c r="C331" t="s">
        <v>12</v>
      </c>
      <c r="D331" t="s">
        <v>17</v>
      </c>
      <c r="E331" t="s">
        <v>21</v>
      </c>
      <c r="F331" t="s">
        <v>30</v>
      </c>
      <c r="G331">
        <v>10</v>
      </c>
      <c r="H331">
        <v>800</v>
      </c>
      <c r="I331">
        <f t="shared" si="24"/>
        <v>720</v>
      </c>
      <c r="J331" s="4">
        <v>5</v>
      </c>
      <c r="K331">
        <f t="shared" si="25"/>
        <v>8000</v>
      </c>
      <c r="L331" t="s">
        <v>43</v>
      </c>
      <c r="M331">
        <f t="shared" si="26"/>
        <v>400</v>
      </c>
      <c r="N331">
        <f t="shared" si="27"/>
        <v>400</v>
      </c>
      <c r="O331" s="6">
        <f t="shared" si="28"/>
        <v>0.05</v>
      </c>
    </row>
    <row r="332" spans="1:15" x14ac:dyDescent="0.35">
      <c r="A332">
        <v>1331</v>
      </c>
      <c r="B332">
        <v>45690</v>
      </c>
      <c r="C332" t="s">
        <v>16</v>
      </c>
      <c r="D332" t="s">
        <v>31</v>
      </c>
      <c r="E332" t="s">
        <v>10</v>
      </c>
      <c r="F332" t="s">
        <v>18</v>
      </c>
      <c r="G332">
        <v>2</v>
      </c>
      <c r="H332">
        <v>21000</v>
      </c>
      <c r="I332">
        <f t="shared" si="24"/>
        <v>18900</v>
      </c>
      <c r="J332" s="4">
        <v>0</v>
      </c>
      <c r="K332">
        <f t="shared" si="25"/>
        <v>42000</v>
      </c>
      <c r="L332" t="s">
        <v>44</v>
      </c>
      <c r="M332">
        <f t="shared" si="26"/>
        <v>0</v>
      </c>
      <c r="N332">
        <f t="shared" si="27"/>
        <v>4200</v>
      </c>
      <c r="O332" s="6">
        <f t="shared" si="28"/>
        <v>0.1</v>
      </c>
    </row>
    <row r="333" spans="1:15" x14ac:dyDescent="0.35">
      <c r="A333">
        <v>1332</v>
      </c>
      <c r="B333">
        <v>45692</v>
      </c>
      <c r="C333" t="s">
        <v>19</v>
      </c>
      <c r="D333" t="s">
        <v>13</v>
      </c>
      <c r="E333" t="s">
        <v>14</v>
      </c>
      <c r="F333" t="s">
        <v>15</v>
      </c>
      <c r="G333">
        <v>3</v>
      </c>
      <c r="H333">
        <v>3500</v>
      </c>
      <c r="I333">
        <f t="shared" si="24"/>
        <v>3150</v>
      </c>
      <c r="J333" s="4">
        <v>0</v>
      </c>
      <c r="K333">
        <f t="shared" si="25"/>
        <v>10500</v>
      </c>
      <c r="L333" t="s">
        <v>44</v>
      </c>
      <c r="M333">
        <f t="shared" si="26"/>
        <v>0</v>
      </c>
      <c r="N333">
        <f t="shared" si="27"/>
        <v>1050</v>
      </c>
      <c r="O333" s="6">
        <f t="shared" si="28"/>
        <v>0.1</v>
      </c>
    </row>
    <row r="334" spans="1:15" x14ac:dyDescent="0.35">
      <c r="A334">
        <v>1333</v>
      </c>
      <c r="B334">
        <v>45694</v>
      </c>
      <c r="C334" t="s">
        <v>8</v>
      </c>
      <c r="D334" t="s">
        <v>32</v>
      </c>
      <c r="E334" t="s">
        <v>21</v>
      </c>
      <c r="F334" t="s">
        <v>22</v>
      </c>
      <c r="G334">
        <v>2</v>
      </c>
      <c r="H334">
        <v>2600</v>
      </c>
      <c r="I334">
        <f t="shared" si="24"/>
        <v>2340</v>
      </c>
      <c r="J334" s="4">
        <v>7</v>
      </c>
      <c r="K334">
        <f t="shared" si="25"/>
        <v>5200</v>
      </c>
      <c r="L334" t="s">
        <v>44</v>
      </c>
      <c r="M334">
        <f t="shared" si="26"/>
        <v>364.00000000000006</v>
      </c>
      <c r="N334">
        <f t="shared" si="27"/>
        <v>155.99999999999994</v>
      </c>
      <c r="O334" s="6">
        <f t="shared" si="28"/>
        <v>2.9999999999999988E-2</v>
      </c>
    </row>
    <row r="335" spans="1:15" x14ac:dyDescent="0.35">
      <c r="A335">
        <v>1334</v>
      </c>
      <c r="B335">
        <v>45696</v>
      </c>
      <c r="C335" t="s">
        <v>12</v>
      </c>
      <c r="D335" t="s">
        <v>20</v>
      </c>
      <c r="E335" t="s">
        <v>10</v>
      </c>
      <c r="F335" t="s">
        <v>11</v>
      </c>
      <c r="G335">
        <v>1</v>
      </c>
      <c r="H335">
        <v>58000</v>
      </c>
      <c r="I335">
        <f t="shared" si="24"/>
        <v>52200</v>
      </c>
      <c r="J335" s="4">
        <v>5</v>
      </c>
      <c r="K335">
        <f t="shared" si="25"/>
        <v>58000</v>
      </c>
      <c r="L335" t="s">
        <v>44</v>
      </c>
      <c r="M335">
        <f t="shared" si="26"/>
        <v>2900</v>
      </c>
      <c r="N335">
        <f t="shared" si="27"/>
        <v>2900</v>
      </c>
      <c r="O335" s="6">
        <f t="shared" si="28"/>
        <v>0.05</v>
      </c>
    </row>
    <row r="336" spans="1:15" x14ac:dyDescent="0.35">
      <c r="A336">
        <v>1335</v>
      </c>
      <c r="B336">
        <v>45698</v>
      </c>
      <c r="C336" t="s">
        <v>16</v>
      </c>
      <c r="D336" t="s">
        <v>33</v>
      </c>
      <c r="E336" t="s">
        <v>14</v>
      </c>
      <c r="F336" t="s">
        <v>23</v>
      </c>
      <c r="G336">
        <v>1</v>
      </c>
      <c r="H336">
        <v>11000</v>
      </c>
      <c r="I336">
        <f t="shared" si="24"/>
        <v>9900</v>
      </c>
      <c r="J336" s="4">
        <v>0</v>
      </c>
      <c r="K336">
        <f t="shared" si="25"/>
        <v>11000</v>
      </c>
      <c r="L336" t="s">
        <v>44</v>
      </c>
      <c r="M336">
        <f t="shared" si="26"/>
        <v>0</v>
      </c>
      <c r="N336">
        <f t="shared" si="27"/>
        <v>1100</v>
      </c>
      <c r="O336" s="6">
        <f t="shared" si="28"/>
        <v>0.1</v>
      </c>
    </row>
    <row r="337" spans="1:15" x14ac:dyDescent="0.35">
      <c r="A337">
        <v>1336</v>
      </c>
      <c r="B337">
        <v>45700</v>
      </c>
      <c r="C337" t="s">
        <v>19</v>
      </c>
      <c r="D337" t="s">
        <v>9</v>
      </c>
      <c r="E337" t="s">
        <v>10</v>
      </c>
      <c r="F337" t="s">
        <v>25</v>
      </c>
      <c r="G337">
        <v>4</v>
      </c>
      <c r="H337">
        <v>2200</v>
      </c>
      <c r="I337">
        <f t="shared" si="24"/>
        <v>1980</v>
      </c>
      <c r="J337" s="4">
        <v>8</v>
      </c>
      <c r="K337">
        <f t="shared" si="25"/>
        <v>8800</v>
      </c>
      <c r="L337" t="s">
        <v>44</v>
      </c>
      <c r="M337">
        <f t="shared" si="26"/>
        <v>704</v>
      </c>
      <c r="N337">
        <f t="shared" si="27"/>
        <v>176</v>
      </c>
      <c r="O337" s="6">
        <f t="shared" si="28"/>
        <v>0.02</v>
      </c>
    </row>
    <row r="338" spans="1:15" x14ac:dyDescent="0.35">
      <c r="A338">
        <v>1337</v>
      </c>
      <c r="B338">
        <v>45703</v>
      </c>
      <c r="C338" t="s">
        <v>8</v>
      </c>
      <c r="D338" t="s">
        <v>24</v>
      </c>
      <c r="E338" t="s">
        <v>21</v>
      </c>
      <c r="F338" t="s">
        <v>26</v>
      </c>
      <c r="G338">
        <v>2</v>
      </c>
      <c r="H338">
        <v>55000</v>
      </c>
      <c r="I338">
        <f t="shared" si="24"/>
        <v>49500</v>
      </c>
      <c r="J338" s="4">
        <v>0</v>
      </c>
      <c r="K338">
        <f t="shared" si="25"/>
        <v>110000</v>
      </c>
      <c r="L338" t="s">
        <v>44</v>
      </c>
      <c r="M338">
        <f t="shared" si="26"/>
        <v>0</v>
      </c>
      <c r="N338">
        <f t="shared" si="27"/>
        <v>11000</v>
      </c>
      <c r="O338" s="6">
        <f t="shared" si="28"/>
        <v>0.1</v>
      </c>
    </row>
    <row r="339" spans="1:15" x14ac:dyDescent="0.35">
      <c r="A339">
        <v>1338</v>
      </c>
      <c r="B339">
        <v>45706</v>
      </c>
      <c r="C339" t="s">
        <v>12</v>
      </c>
      <c r="D339" t="s">
        <v>27</v>
      </c>
      <c r="E339" t="s">
        <v>14</v>
      </c>
      <c r="F339" t="s">
        <v>29</v>
      </c>
      <c r="G339">
        <v>1</v>
      </c>
      <c r="H339">
        <v>3500</v>
      </c>
      <c r="I339">
        <f t="shared" si="24"/>
        <v>3150</v>
      </c>
      <c r="J339" s="4">
        <v>0</v>
      </c>
      <c r="K339">
        <f t="shared" si="25"/>
        <v>3500</v>
      </c>
      <c r="L339" t="s">
        <v>44</v>
      </c>
      <c r="M339">
        <f t="shared" si="26"/>
        <v>0</v>
      </c>
      <c r="N339">
        <f t="shared" si="27"/>
        <v>350</v>
      </c>
      <c r="O339" s="6">
        <f t="shared" si="28"/>
        <v>0.1</v>
      </c>
    </row>
    <row r="340" spans="1:15" x14ac:dyDescent="0.35">
      <c r="A340">
        <v>1339</v>
      </c>
      <c r="B340">
        <v>45708</v>
      </c>
      <c r="C340" t="s">
        <v>16</v>
      </c>
      <c r="D340" t="s">
        <v>28</v>
      </c>
      <c r="E340" t="s">
        <v>10</v>
      </c>
      <c r="F340" t="s">
        <v>11</v>
      </c>
      <c r="G340">
        <v>1</v>
      </c>
      <c r="H340">
        <v>22000</v>
      </c>
      <c r="I340">
        <f t="shared" si="24"/>
        <v>19800</v>
      </c>
      <c r="J340" s="4">
        <v>5</v>
      </c>
      <c r="K340">
        <f t="shared" si="25"/>
        <v>22000</v>
      </c>
      <c r="L340" t="s">
        <v>44</v>
      </c>
      <c r="M340">
        <f t="shared" si="26"/>
        <v>1100</v>
      </c>
      <c r="N340">
        <f t="shared" si="27"/>
        <v>1100</v>
      </c>
      <c r="O340" s="6">
        <f t="shared" si="28"/>
        <v>0.05</v>
      </c>
    </row>
    <row r="341" spans="1:15" x14ac:dyDescent="0.35">
      <c r="A341">
        <v>1340</v>
      </c>
      <c r="B341">
        <v>45710</v>
      </c>
      <c r="C341" t="s">
        <v>19</v>
      </c>
      <c r="D341" t="s">
        <v>31</v>
      </c>
      <c r="E341" t="s">
        <v>21</v>
      </c>
      <c r="F341" t="s">
        <v>30</v>
      </c>
      <c r="G341">
        <v>5</v>
      </c>
      <c r="H341">
        <v>2500</v>
      </c>
      <c r="I341">
        <f t="shared" si="24"/>
        <v>2250</v>
      </c>
      <c r="J341" s="4">
        <v>0</v>
      </c>
      <c r="K341">
        <f t="shared" si="25"/>
        <v>12500</v>
      </c>
      <c r="L341" t="s">
        <v>44</v>
      </c>
      <c r="M341">
        <f t="shared" si="26"/>
        <v>0</v>
      </c>
      <c r="N341">
        <f t="shared" si="27"/>
        <v>1250</v>
      </c>
      <c r="O341" s="6">
        <f t="shared" si="28"/>
        <v>0.1</v>
      </c>
    </row>
    <row r="342" spans="1:15" x14ac:dyDescent="0.35">
      <c r="A342">
        <v>1341</v>
      </c>
      <c r="B342">
        <v>45660</v>
      </c>
      <c r="C342" t="s">
        <v>8</v>
      </c>
      <c r="D342" t="s">
        <v>9</v>
      </c>
      <c r="E342" t="s">
        <v>10</v>
      </c>
      <c r="F342" t="s">
        <v>11</v>
      </c>
      <c r="G342">
        <v>2</v>
      </c>
      <c r="H342">
        <v>12000</v>
      </c>
      <c r="I342">
        <f t="shared" si="24"/>
        <v>10800</v>
      </c>
      <c r="J342" s="4">
        <v>0</v>
      </c>
      <c r="K342">
        <f t="shared" si="25"/>
        <v>24000</v>
      </c>
      <c r="L342" t="s">
        <v>43</v>
      </c>
      <c r="M342">
        <f t="shared" si="26"/>
        <v>0</v>
      </c>
      <c r="N342">
        <f t="shared" si="27"/>
        <v>2400</v>
      </c>
      <c r="O342" s="6">
        <f t="shared" si="28"/>
        <v>0.1</v>
      </c>
    </row>
    <row r="343" spans="1:15" x14ac:dyDescent="0.35">
      <c r="A343">
        <v>1342</v>
      </c>
      <c r="B343">
        <v>45662</v>
      </c>
      <c r="C343" t="s">
        <v>12</v>
      </c>
      <c r="D343" t="s">
        <v>13</v>
      </c>
      <c r="E343" t="s">
        <v>14</v>
      </c>
      <c r="F343" t="s">
        <v>15</v>
      </c>
      <c r="G343">
        <v>5</v>
      </c>
      <c r="H343">
        <v>2000</v>
      </c>
      <c r="I343">
        <f t="shared" ref="I343:I352" si="29">H343*90%</f>
        <v>1800</v>
      </c>
      <c r="J343" s="4">
        <v>5</v>
      </c>
      <c r="K343">
        <f t="shared" si="25"/>
        <v>10000</v>
      </c>
      <c r="L343" t="s">
        <v>43</v>
      </c>
      <c r="M343">
        <f t="shared" si="26"/>
        <v>500</v>
      </c>
      <c r="N343">
        <f t="shared" si="27"/>
        <v>500</v>
      </c>
      <c r="O343" s="6">
        <f t="shared" si="28"/>
        <v>0.05</v>
      </c>
    </row>
    <row r="344" spans="1:15" x14ac:dyDescent="0.35">
      <c r="A344">
        <v>1343</v>
      </c>
      <c r="B344">
        <v>45663</v>
      </c>
      <c r="C344" t="s">
        <v>16</v>
      </c>
      <c r="D344" t="s">
        <v>17</v>
      </c>
      <c r="E344" t="s">
        <v>10</v>
      </c>
      <c r="F344" t="s">
        <v>18</v>
      </c>
      <c r="G344">
        <v>3</v>
      </c>
      <c r="H344">
        <v>3000</v>
      </c>
      <c r="I344">
        <f t="shared" si="29"/>
        <v>2700</v>
      </c>
      <c r="J344" s="4">
        <v>8</v>
      </c>
      <c r="K344">
        <f t="shared" si="25"/>
        <v>9000</v>
      </c>
      <c r="L344" t="s">
        <v>43</v>
      </c>
      <c r="M344">
        <f t="shared" si="26"/>
        <v>720</v>
      </c>
      <c r="N344">
        <f t="shared" si="27"/>
        <v>180</v>
      </c>
      <c r="O344" s="6">
        <f t="shared" si="28"/>
        <v>0.02</v>
      </c>
    </row>
    <row r="345" spans="1:15" x14ac:dyDescent="0.35">
      <c r="A345">
        <v>1344</v>
      </c>
      <c r="B345">
        <v>45664</v>
      </c>
      <c r="C345" t="s">
        <v>19</v>
      </c>
      <c r="D345" t="s">
        <v>20</v>
      </c>
      <c r="E345" t="s">
        <v>21</v>
      </c>
      <c r="F345" t="s">
        <v>22</v>
      </c>
      <c r="G345">
        <v>4</v>
      </c>
      <c r="H345">
        <v>60000</v>
      </c>
      <c r="I345">
        <f t="shared" si="29"/>
        <v>54000</v>
      </c>
      <c r="J345" s="4">
        <v>0</v>
      </c>
      <c r="K345">
        <f t="shared" si="25"/>
        <v>240000</v>
      </c>
      <c r="L345" t="s">
        <v>43</v>
      </c>
      <c r="M345">
        <f t="shared" si="26"/>
        <v>0</v>
      </c>
      <c r="N345">
        <f t="shared" si="27"/>
        <v>24000</v>
      </c>
      <c r="O345" s="6">
        <f t="shared" si="28"/>
        <v>0.1</v>
      </c>
    </row>
    <row r="346" spans="1:15" x14ac:dyDescent="0.35">
      <c r="A346">
        <v>1345</v>
      </c>
      <c r="B346">
        <v>45667</v>
      </c>
      <c r="C346" t="s">
        <v>8</v>
      </c>
      <c r="D346" t="s">
        <v>13</v>
      </c>
      <c r="E346" t="s">
        <v>14</v>
      </c>
      <c r="F346" t="s">
        <v>23</v>
      </c>
      <c r="G346">
        <v>2</v>
      </c>
      <c r="H346">
        <v>45000</v>
      </c>
      <c r="I346">
        <f t="shared" si="29"/>
        <v>40500</v>
      </c>
      <c r="J346" s="4">
        <v>0</v>
      </c>
      <c r="K346">
        <f t="shared" si="25"/>
        <v>90000</v>
      </c>
      <c r="L346" t="s">
        <v>43</v>
      </c>
      <c r="M346">
        <f t="shared" si="26"/>
        <v>0</v>
      </c>
      <c r="N346">
        <f t="shared" si="27"/>
        <v>9000</v>
      </c>
      <c r="O346" s="6">
        <f t="shared" si="28"/>
        <v>0.1</v>
      </c>
    </row>
    <row r="347" spans="1:15" x14ac:dyDescent="0.35">
      <c r="A347">
        <v>1346</v>
      </c>
      <c r="B347">
        <v>45668</v>
      </c>
      <c r="C347" t="s">
        <v>12</v>
      </c>
      <c r="D347" t="s">
        <v>24</v>
      </c>
      <c r="E347" t="s">
        <v>10</v>
      </c>
      <c r="F347" t="s">
        <v>25</v>
      </c>
      <c r="G347">
        <v>6</v>
      </c>
      <c r="H347">
        <v>800</v>
      </c>
      <c r="I347">
        <f t="shared" si="29"/>
        <v>720</v>
      </c>
      <c r="J347" s="4">
        <v>5</v>
      </c>
      <c r="K347">
        <f t="shared" si="25"/>
        <v>4800</v>
      </c>
      <c r="L347" t="s">
        <v>43</v>
      </c>
      <c r="M347">
        <f t="shared" si="26"/>
        <v>240</v>
      </c>
      <c r="N347">
        <f t="shared" si="27"/>
        <v>240</v>
      </c>
      <c r="O347" s="6">
        <f t="shared" si="28"/>
        <v>0.05</v>
      </c>
    </row>
    <row r="348" spans="1:15" x14ac:dyDescent="0.35">
      <c r="A348">
        <v>1347</v>
      </c>
      <c r="B348">
        <v>45670</v>
      </c>
      <c r="C348" t="s">
        <v>16</v>
      </c>
      <c r="D348" t="s">
        <v>9</v>
      </c>
      <c r="E348" t="s">
        <v>21</v>
      </c>
      <c r="F348" t="s">
        <v>26</v>
      </c>
      <c r="G348">
        <v>3</v>
      </c>
      <c r="H348">
        <v>21000</v>
      </c>
      <c r="I348">
        <f t="shared" si="29"/>
        <v>18900</v>
      </c>
      <c r="J348" s="4">
        <v>0</v>
      </c>
      <c r="K348">
        <f t="shared" si="25"/>
        <v>63000</v>
      </c>
      <c r="L348" t="s">
        <v>43</v>
      </c>
      <c r="M348">
        <f t="shared" si="26"/>
        <v>0</v>
      </c>
      <c r="N348">
        <f t="shared" si="27"/>
        <v>6300</v>
      </c>
      <c r="O348" s="6">
        <f t="shared" si="28"/>
        <v>0.1</v>
      </c>
    </row>
    <row r="349" spans="1:15" x14ac:dyDescent="0.35">
      <c r="A349">
        <v>1348</v>
      </c>
      <c r="B349">
        <v>45672</v>
      </c>
      <c r="C349" t="s">
        <v>19</v>
      </c>
      <c r="D349" t="s">
        <v>27</v>
      </c>
      <c r="E349" t="s">
        <v>10</v>
      </c>
      <c r="F349" t="s">
        <v>11</v>
      </c>
      <c r="G349">
        <v>1</v>
      </c>
      <c r="H349">
        <v>3100</v>
      </c>
      <c r="I349">
        <f t="shared" si="29"/>
        <v>2790</v>
      </c>
      <c r="J349" s="4">
        <v>10</v>
      </c>
      <c r="K349">
        <f t="shared" si="25"/>
        <v>3100</v>
      </c>
      <c r="L349" t="s">
        <v>43</v>
      </c>
      <c r="M349">
        <f t="shared" si="26"/>
        <v>310</v>
      </c>
      <c r="N349">
        <f t="shared" si="27"/>
        <v>0</v>
      </c>
      <c r="O349" s="6">
        <f t="shared" si="28"/>
        <v>0</v>
      </c>
    </row>
    <row r="350" spans="1:15" x14ac:dyDescent="0.35">
      <c r="A350">
        <v>1349</v>
      </c>
      <c r="B350">
        <v>45675</v>
      </c>
      <c r="C350" t="s">
        <v>8</v>
      </c>
      <c r="D350" t="s">
        <v>28</v>
      </c>
      <c r="E350" t="s">
        <v>14</v>
      </c>
      <c r="F350" t="s">
        <v>29</v>
      </c>
      <c r="G350">
        <v>1</v>
      </c>
      <c r="H350">
        <v>2600</v>
      </c>
      <c r="I350">
        <f t="shared" si="29"/>
        <v>2340</v>
      </c>
      <c r="J350" s="4">
        <v>0</v>
      </c>
      <c r="K350">
        <f t="shared" si="25"/>
        <v>2600</v>
      </c>
      <c r="L350" t="s">
        <v>43</v>
      </c>
      <c r="M350">
        <f t="shared" si="26"/>
        <v>0</v>
      </c>
      <c r="N350">
        <f t="shared" si="27"/>
        <v>260</v>
      </c>
      <c r="O350" s="6">
        <f t="shared" si="28"/>
        <v>0.1</v>
      </c>
    </row>
    <row r="351" spans="1:15" x14ac:dyDescent="0.35">
      <c r="A351">
        <v>1350</v>
      </c>
      <c r="B351">
        <v>45677</v>
      </c>
      <c r="C351" t="s">
        <v>12</v>
      </c>
      <c r="D351" t="s">
        <v>17</v>
      </c>
      <c r="E351" t="s">
        <v>21</v>
      </c>
      <c r="F351" t="s">
        <v>30</v>
      </c>
      <c r="G351">
        <v>10</v>
      </c>
      <c r="H351">
        <v>58000</v>
      </c>
      <c r="I351">
        <f t="shared" si="29"/>
        <v>52200</v>
      </c>
      <c r="J351" s="4">
        <v>5</v>
      </c>
      <c r="K351">
        <f t="shared" si="25"/>
        <v>580000</v>
      </c>
      <c r="L351" t="s">
        <v>43</v>
      </c>
      <c r="M351">
        <f t="shared" si="26"/>
        <v>29000</v>
      </c>
      <c r="N351">
        <f t="shared" si="27"/>
        <v>29000</v>
      </c>
      <c r="O351" s="6">
        <f t="shared" si="28"/>
        <v>0.05</v>
      </c>
    </row>
    <row r="352" spans="1:15" x14ac:dyDescent="0.35">
      <c r="A352">
        <v>1351</v>
      </c>
      <c r="B352">
        <v>45690</v>
      </c>
      <c r="C352" t="s">
        <v>16</v>
      </c>
      <c r="D352" t="s">
        <v>31</v>
      </c>
      <c r="E352" t="s">
        <v>10</v>
      </c>
      <c r="F352" t="s">
        <v>18</v>
      </c>
      <c r="G352">
        <v>2</v>
      </c>
      <c r="H352">
        <v>11000</v>
      </c>
      <c r="I352">
        <f t="shared" si="29"/>
        <v>9900</v>
      </c>
      <c r="J352" s="4">
        <v>0</v>
      </c>
      <c r="K352">
        <f t="shared" si="25"/>
        <v>22000</v>
      </c>
      <c r="L352" t="s">
        <v>44</v>
      </c>
      <c r="M352">
        <f t="shared" si="26"/>
        <v>0</v>
      </c>
      <c r="N352">
        <f t="shared" si="27"/>
        <v>2200</v>
      </c>
      <c r="O352" s="6">
        <f t="shared" si="28"/>
        <v>0.1</v>
      </c>
    </row>
    <row r="353" spans="10:10" x14ac:dyDescent="0.35">
      <c r="J353" s="4"/>
    </row>
    <row r="354" spans="10:10" x14ac:dyDescent="0.35">
      <c r="J354" s="4"/>
    </row>
    <row r="355" spans="10:10" x14ac:dyDescent="0.35">
      <c r="J355" s="4"/>
    </row>
    <row r="356" spans="10:10" x14ac:dyDescent="0.35">
      <c r="J356" s="4"/>
    </row>
    <row r="357" spans="10:10" x14ac:dyDescent="0.35">
      <c r="J357" s="4"/>
    </row>
    <row r="358" spans="10:10" x14ac:dyDescent="0.35">
      <c r="J358" s="4"/>
    </row>
    <row r="359" spans="10:10" x14ac:dyDescent="0.35">
      <c r="J359" s="4"/>
    </row>
    <row r="360" spans="10:10" x14ac:dyDescent="0.35">
      <c r="J360" s="4"/>
    </row>
    <row r="361" spans="10:10" x14ac:dyDescent="0.35">
      <c r="J361" s="4"/>
    </row>
    <row r="362" spans="10:10" x14ac:dyDescent="0.35">
      <c r="J362" s="4"/>
    </row>
    <row r="363" spans="10:10" x14ac:dyDescent="0.35">
      <c r="J363" s="4"/>
    </row>
    <row r="364" spans="10:10" x14ac:dyDescent="0.35">
      <c r="J364" s="4"/>
    </row>
    <row r="365" spans="10:10" x14ac:dyDescent="0.35">
      <c r="J365" s="4"/>
    </row>
    <row r="366" spans="10:10" x14ac:dyDescent="0.35">
      <c r="J366" s="4"/>
    </row>
    <row r="367" spans="10:10" x14ac:dyDescent="0.35">
      <c r="J367" s="4"/>
    </row>
    <row r="368" spans="10:10" x14ac:dyDescent="0.35">
      <c r="J368" s="4"/>
    </row>
    <row r="369" spans="10:10" x14ac:dyDescent="0.35">
      <c r="J369" s="4"/>
    </row>
    <row r="370" spans="10:10" x14ac:dyDescent="0.35">
      <c r="J370" s="4"/>
    </row>
    <row r="371" spans="10:10" x14ac:dyDescent="0.35">
      <c r="J371" s="4"/>
    </row>
    <row r="372" spans="10:10" x14ac:dyDescent="0.35">
      <c r="J372" s="4"/>
    </row>
    <row r="373" spans="10:10" x14ac:dyDescent="0.35">
      <c r="J373" s="4"/>
    </row>
    <row r="374" spans="10:10" x14ac:dyDescent="0.35">
      <c r="J374" s="4"/>
    </row>
    <row r="375" spans="10:10" x14ac:dyDescent="0.35">
      <c r="J375" s="4"/>
    </row>
    <row r="376" spans="10:10" x14ac:dyDescent="0.35">
      <c r="J376" s="4"/>
    </row>
    <row r="377" spans="10:10" x14ac:dyDescent="0.35">
      <c r="J377" s="4"/>
    </row>
    <row r="378" spans="10:10" x14ac:dyDescent="0.35">
      <c r="J378" s="4"/>
    </row>
    <row r="379" spans="10:10" x14ac:dyDescent="0.35">
      <c r="J379" s="4"/>
    </row>
    <row r="380" spans="10:10" x14ac:dyDescent="0.35">
      <c r="J380" s="4"/>
    </row>
    <row r="381" spans="10:10" x14ac:dyDescent="0.35">
      <c r="J381" s="4"/>
    </row>
    <row r="382" spans="10:10" x14ac:dyDescent="0.35">
      <c r="J382" s="4"/>
    </row>
    <row r="383" spans="10:10" x14ac:dyDescent="0.35">
      <c r="J383" s="4"/>
    </row>
    <row r="384" spans="10:10" x14ac:dyDescent="0.35">
      <c r="J384" s="4"/>
    </row>
    <row r="385" spans="10:10" x14ac:dyDescent="0.35">
      <c r="J385" s="4"/>
    </row>
    <row r="386" spans="10:10" x14ac:dyDescent="0.35">
      <c r="J386" s="4"/>
    </row>
    <row r="387" spans="10:10" x14ac:dyDescent="0.35">
      <c r="J387" s="4"/>
    </row>
    <row r="388" spans="10:10" x14ac:dyDescent="0.35">
      <c r="J388" s="4"/>
    </row>
    <row r="389" spans="10:10" x14ac:dyDescent="0.35">
      <c r="J389" s="4"/>
    </row>
    <row r="390" spans="10:10" x14ac:dyDescent="0.35">
      <c r="J390" s="4"/>
    </row>
    <row r="391" spans="10:10" x14ac:dyDescent="0.35">
      <c r="J391" s="4"/>
    </row>
    <row r="392" spans="10:10" x14ac:dyDescent="0.35">
      <c r="J392" s="4"/>
    </row>
    <row r="393" spans="10:10" x14ac:dyDescent="0.35">
      <c r="J393" s="4"/>
    </row>
    <row r="394" spans="10:10" x14ac:dyDescent="0.35">
      <c r="J394" s="4"/>
    </row>
    <row r="395" spans="10:10" x14ac:dyDescent="0.35">
      <c r="J395" s="4"/>
    </row>
    <row r="396" spans="10:10" x14ac:dyDescent="0.35">
      <c r="J396" s="4"/>
    </row>
    <row r="397" spans="10:10" x14ac:dyDescent="0.35">
      <c r="J397" s="4"/>
    </row>
    <row r="398" spans="10:10" x14ac:dyDescent="0.35">
      <c r="J398" s="4"/>
    </row>
    <row r="399" spans="10:10" x14ac:dyDescent="0.35">
      <c r="J399" s="4"/>
    </row>
    <row r="400" spans="10:10" x14ac:dyDescent="0.35">
      <c r="J400" s="4"/>
    </row>
    <row r="401" spans="10:10" x14ac:dyDescent="0.35">
      <c r="J401" s="4"/>
    </row>
    <row r="402" spans="10:10" x14ac:dyDescent="0.35">
      <c r="J402" s="4"/>
    </row>
    <row r="403" spans="10:10" x14ac:dyDescent="0.35">
      <c r="J403" s="4"/>
    </row>
    <row r="404" spans="10:10" x14ac:dyDescent="0.35">
      <c r="J404" s="4"/>
    </row>
    <row r="405" spans="10:10" x14ac:dyDescent="0.35">
      <c r="J405" s="4"/>
    </row>
    <row r="406" spans="10:10" x14ac:dyDescent="0.35">
      <c r="J406" s="4"/>
    </row>
    <row r="407" spans="10:10" x14ac:dyDescent="0.35">
      <c r="J407" s="4"/>
    </row>
    <row r="408" spans="10:10" x14ac:dyDescent="0.35">
      <c r="J408" s="4"/>
    </row>
    <row r="409" spans="10:10" x14ac:dyDescent="0.35">
      <c r="J409" s="4"/>
    </row>
    <row r="410" spans="10:10" x14ac:dyDescent="0.35">
      <c r="J410" s="4"/>
    </row>
    <row r="411" spans="10:10" x14ac:dyDescent="0.35">
      <c r="J411" s="4"/>
    </row>
    <row r="412" spans="10:10" x14ac:dyDescent="0.35">
      <c r="J412" s="4"/>
    </row>
    <row r="413" spans="10:10" x14ac:dyDescent="0.35">
      <c r="J413" s="4"/>
    </row>
    <row r="414" spans="10:10" x14ac:dyDescent="0.35">
      <c r="J414" s="4"/>
    </row>
    <row r="415" spans="10:10" x14ac:dyDescent="0.35">
      <c r="J415" s="4"/>
    </row>
  </sheetData>
  <autoFilter ref="A1:O353" xr:uid="{60458946-308C-4800-89F2-946D20D1774D}"/>
  <conditionalFormatting sqref="T13:T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:U16 U18:U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:U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1157-3CD0-4184-B3D3-9C6F108EFDDE}">
  <dimension ref="A1:H20"/>
  <sheetViews>
    <sheetView topLeftCell="A9" workbookViewId="0">
      <selection activeCell="H16" sqref="H16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1.36328125" bestFit="1" customWidth="1"/>
    <col min="6" max="6" width="12.36328125" bestFit="1" customWidth="1"/>
    <col min="7" max="7" width="14.54296875" bestFit="1" customWidth="1"/>
    <col min="8" max="8" width="11.36328125" bestFit="1" customWidth="1"/>
  </cols>
  <sheetData>
    <row r="1" spans="1:8" x14ac:dyDescent="0.35">
      <c r="A1" s="1" t="s">
        <v>39</v>
      </c>
      <c r="B1" t="s">
        <v>38</v>
      </c>
      <c r="C1" t="s">
        <v>41</v>
      </c>
      <c r="F1" s="1" t="s">
        <v>39</v>
      </c>
      <c r="G1" t="s">
        <v>42</v>
      </c>
      <c r="H1" t="s">
        <v>41</v>
      </c>
    </row>
    <row r="2" spans="1:8" x14ac:dyDescent="0.35">
      <c r="A2" s="2" t="s">
        <v>35</v>
      </c>
      <c r="B2">
        <v>211590</v>
      </c>
      <c r="C2">
        <v>12464500</v>
      </c>
      <c r="F2" s="2" t="s">
        <v>19</v>
      </c>
      <c r="G2">
        <v>294</v>
      </c>
      <c r="H2">
        <v>5388550</v>
      </c>
    </row>
    <row r="3" spans="1:8" x14ac:dyDescent="0.35">
      <c r="A3" s="2" t="s">
        <v>36</v>
      </c>
      <c r="B3">
        <v>201186</v>
      </c>
      <c r="C3">
        <v>7270550</v>
      </c>
      <c r="F3" s="2" t="s">
        <v>8</v>
      </c>
      <c r="G3">
        <v>158</v>
      </c>
      <c r="H3">
        <v>3344850</v>
      </c>
    </row>
    <row r="4" spans="1:8" x14ac:dyDescent="0.35">
      <c r="A4" s="2" t="s">
        <v>40</v>
      </c>
      <c r="B4">
        <v>412776</v>
      </c>
      <c r="C4">
        <v>19735050</v>
      </c>
      <c r="F4" s="2" t="s">
        <v>16</v>
      </c>
      <c r="G4">
        <v>178</v>
      </c>
      <c r="H4">
        <v>3727850</v>
      </c>
    </row>
    <row r="5" spans="1:8" x14ac:dyDescent="0.35">
      <c r="F5" s="2" t="s">
        <v>12</v>
      </c>
      <c r="G5">
        <v>412</v>
      </c>
      <c r="H5">
        <v>7273800</v>
      </c>
    </row>
    <row r="6" spans="1:8" x14ac:dyDescent="0.35">
      <c r="F6" s="2" t="s">
        <v>40</v>
      </c>
      <c r="G6">
        <v>1042</v>
      </c>
      <c r="H6">
        <v>19735050</v>
      </c>
    </row>
    <row r="9" spans="1:8" x14ac:dyDescent="0.35">
      <c r="A9" s="1" t="s">
        <v>39</v>
      </c>
      <c r="B9" t="s">
        <v>42</v>
      </c>
      <c r="C9" t="s">
        <v>41</v>
      </c>
    </row>
    <row r="10" spans="1:8" x14ac:dyDescent="0.35">
      <c r="A10" s="2" t="s">
        <v>9</v>
      </c>
      <c r="B10">
        <v>158</v>
      </c>
      <c r="C10">
        <v>2965000</v>
      </c>
    </row>
    <row r="11" spans="1:8" x14ac:dyDescent="0.35">
      <c r="A11" s="2" t="s">
        <v>13</v>
      </c>
      <c r="B11">
        <v>177</v>
      </c>
      <c r="C11">
        <v>3412900</v>
      </c>
    </row>
    <row r="12" spans="1:8" x14ac:dyDescent="0.35">
      <c r="A12" s="2" t="s">
        <v>17</v>
      </c>
      <c r="B12">
        <v>234</v>
      </c>
      <c r="C12">
        <v>4332750</v>
      </c>
    </row>
    <row r="13" spans="1:8" x14ac:dyDescent="0.35">
      <c r="A13" s="2" t="s">
        <v>20</v>
      </c>
      <c r="B13">
        <v>89</v>
      </c>
      <c r="C13">
        <v>1615450</v>
      </c>
    </row>
    <row r="14" spans="1:8" x14ac:dyDescent="0.35">
      <c r="A14" s="2" t="s">
        <v>24</v>
      </c>
      <c r="B14">
        <v>142</v>
      </c>
      <c r="C14">
        <v>2309600</v>
      </c>
    </row>
    <row r="15" spans="1:8" x14ac:dyDescent="0.35">
      <c r="A15" s="2" t="s">
        <v>27</v>
      </c>
      <c r="B15">
        <v>35</v>
      </c>
      <c r="C15">
        <v>701350</v>
      </c>
    </row>
    <row r="16" spans="1:8" x14ac:dyDescent="0.35">
      <c r="A16" s="2" t="s">
        <v>28</v>
      </c>
      <c r="B16">
        <v>35</v>
      </c>
      <c r="C16">
        <v>716400</v>
      </c>
    </row>
    <row r="17" spans="1:3" x14ac:dyDescent="0.35">
      <c r="A17" s="2" t="s">
        <v>31</v>
      </c>
      <c r="B17">
        <v>121</v>
      </c>
      <c r="C17">
        <v>2607950</v>
      </c>
    </row>
    <row r="18" spans="1:3" x14ac:dyDescent="0.35">
      <c r="A18" s="2" t="s">
        <v>32</v>
      </c>
      <c r="B18">
        <v>34</v>
      </c>
      <c r="C18">
        <v>719500</v>
      </c>
    </row>
    <row r="19" spans="1:3" x14ac:dyDescent="0.35">
      <c r="A19" s="2" t="s">
        <v>33</v>
      </c>
      <c r="B19">
        <v>17</v>
      </c>
      <c r="C19">
        <v>354150</v>
      </c>
    </row>
    <row r="20" spans="1:3" x14ac:dyDescent="0.35">
      <c r="A20" s="2" t="s">
        <v>40</v>
      </c>
      <c r="B20">
        <v>1042</v>
      </c>
      <c r="C20">
        <v>19735050</v>
      </c>
    </row>
  </sheetData>
  <conditionalFormatting pivot="1" sqref="C10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Pivat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Patel</dc:creator>
  <cp:lastModifiedBy>Amit Patel</cp:lastModifiedBy>
  <dcterms:created xsi:type="dcterms:W3CDTF">2015-06-05T18:17:20Z</dcterms:created>
  <dcterms:modified xsi:type="dcterms:W3CDTF">2026-03-02T12:24:16Z</dcterms:modified>
</cp:coreProperties>
</file>