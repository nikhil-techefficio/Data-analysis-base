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Day 2\"/>
    </mc:Choice>
  </mc:AlternateContent>
  <xr:revisionPtr revIDLastSave="0" documentId="13_ncr:1_{ACCFA8F5-28B0-49E9-97CE-A05AFDDC760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in " sheetId="1" r:id="rId1"/>
    <sheet name="Sheet2" sheetId="3" r:id="rId2"/>
    <sheet name="Sheet1" sheetId="4" r:id="rId3"/>
    <sheet name="Pivat " sheetId="2" r:id="rId4"/>
  </sheets>
  <definedNames>
    <definedName name="_xlnm._FilterDatabase" localSheetId="0" hidden="1">'Main '!$A$1:$I$352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3" l="1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22" i="3"/>
  <c r="T27" i="1"/>
  <c r="T28" i="1"/>
  <c r="T29" i="1"/>
  <c r="T30" i="1"/>
  <c r="T31" i="1"/>
  <c r="T32" i="1"/>
  <c r="T33" i="1"/>
  <c r="T34" i="1"/>
  <c r="T35" i="1"/>
  <c r="T26" i="1"/>
  <c r="U23" i="1"/>
  <c r="U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2" i="1"/>
  <c r="U13" i="1"/>
  <c r="U14" i="1"/>
  <c r="U15" i="1"/>
  <c r="U16" i="1"/>
  <c r="U17" i="1"/>
  <c r="U18" i="1"/>
  <c r="U19" i="1"/>
  <c r="U20" i="1"/>
  <c r="U12" i="1"/>
  <c r="T14" i="1"/>
  <c r="T15" i="1"/>
  <c r="I3" i="1"/>
  <c r="T3" i="1" s="1"/>
  <c r="I4" i="1"/>
  <c r="I5" i="1"/>
  <c r="I6" i="1"/>
  <c r="T16" i="1" s="1"/>
  <c r="I7" i="1"/>
  <c r="T17" i="1" s="1"/>
  <c r="I8" i="1"/>
  <c r="T18" i="1" s="1"/>
  <c r="I9" i="1"/>
  <c r="T12" i="1" s="1"/>
  <c r="I10" i="1"/>
  <c r="T19" i="1" s="1"/>
  <c r="I11" i="1"/>
  <c r="T20" i="1" s="1"/>
  <c r="I12" i="1"/>
  <c r="T8" i="1" s="1"/>
  <c r="I13" i="1"/>
  <c r="T9" i="1" s="1"/>
  <c r="I14" i="1"/>
  <c r="T6" i="1" s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2" i="1"/>
  <c r="T13" i="1" l="1"/>
  <c r="T7" i="1"/>
</calcChain>
</file>

<file path=xl/sharedStrings.xml><?xml version="1.0" encoding="utf-8"?>
<sst xmlns="http://schemas.openxmlformats.org/spreadsheetml/2006/main" count="3356" uniqueCount="60">
  <si>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</si>
  <si>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</si>
  <si>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</si>
  <si>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</si>
  <si>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</si>
  <si>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</si>
  <si>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</si>
  <si>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</si>
  <si>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North</t>
  </si>
  <si>
    <t>C001</t>
  </si>
  <si>
    <t>Electronics</t>
  </si>
  <si>
    <t>Laptop</t>
  </si>
  <si>
    <t>West</t>
  </si>
  <si>
    <t>C002</t>
  </si>
  <si>
    <t>Furniture</t>
  </si>
  <si>
    <t>Chair</t>
  </si>
  <si>
    <t>South</t>
  </si>
  <si>
    <t>C003</t>
  </si>
  <si>
    <t>Smartphone</t>
  </si>
  <si>
    <t>East</t>
  </si>
  <si>
    <t>C004</t>
  </si>
  <si>
    <t>Clothing</t>
  </si>
  <si>
    <t>Jacket</t>
  </si>
  <si>
    <t>Table</t>
  </si>
  <si>
    <t>C005</t>
  </si>
  <si>
    <t>Headphones</t>
  </si>
  <si>
    <t>Shoes</t>
  </si>
  <si>
    <t>C006</t>
  </si>
  <si>
    <t>C007</t>
  </si>
  <si>
    <t>Sofa</t>
  </si>
  <si>
    <t>T-shirt</t>
  </si>
  <si>
    <t>C008</t>
  </si>
  <si>
    <t>C009</t>
  </si>
  <si>
    <t>C010</t>
  </si>
  <si>
    <t>1) Total Revenue
2)Revenue by Region
3) Revenue by Product Category
4)Monthly Sales Trend
5)Top 5 Customers by Revenue</t>
  </si>
  <si>
    <t>Total</t>
  </si>
  <si>
    <t xml:space="preserve">Total </t>
  </si>
  <si>
    <t>1)</t>
  </si>
  <si>
    <t>2)</t>
  </si>
  <si>
    <t>3)</t>
  </si>
  <si>
    <t>Revenue</t>
  </si>
  <si>
    <t xml:space="preserve">Quantity </t>
  </si>
  <si>
    <t>4)</t>
  </si>
  <si>
    <t>Jan</t>
  </si>
  <si>
    <t>Feb</t>
  </si>
  <si>
    <t>5)</t>
  </si>
  <si>
    <t>Month</t>
  </si>
  <si>
    <t>Sum of OrderID</t>
  </si>
  <si>
    <t>Row Labels</t>
  </si>
  <si>
    <t>Grand Total</t>
  </si>
  <si>
    <t>Sum of Total</t>
  </si>
  <si>
    <t>Sum of Quantity</t>
  </si>
  <si>
    <t>01</t>
  </si>
  <si>
    <t>02</t>
  </si>
  <si>
    <t>Segment</t>
  </si>
  <si>
    <t>UnitCost</t>
  </si>
  <si>
    <t>Discount%</t>
  </si>
  <si>
    <t>Corporate</t>
  </si>
  <si>
    <t>Consumer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</si>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</sst>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chefficio Solutions" refreshedDate="46079.625001273147" createdVersion="8" refreshedVersion="8" minRefreshableVersion="3" recordCount="351" xr:uid="{CDEE840C-B30B-4697-82D2-C703CB75520C}">
  <cacheSource type="worksheet">
    <worksheetSource ref="A1:J352" sheet="Main "/>
  </cacheSource>
  <cacheFields count="12">
    <cacheField name="OrderID" numFmtId="0">
      <sharedItems containsSemiMixedTypes="0" containsString="0" containsNumber="1" containsInteger="1" minValue="1001" maxValue="1351"/>
    </cacheField>
    <cacheField name="OrderDate" numFmtId="14">
      <sharedItems containsSemiMixedTypes="0" containsNonDate="0" containsDate="1" containsString="0" minDate="2025-01-03T00:00:00" maxDate="2025-02-23T00:00:00" count="20">
        <d v="2025-01-03T00:00:00"/>
        <d v="2025-01-05T00:00:00"/>
        <d v="2025-01-06T00:00:00"/>
        <d v="2025-01-07T00:00:00"/>
        <d v="2025-01-10T00:00:00"/>
        <d v="2025-01-11T00:00:00"/>
        <d v="2025-01-13T00:00:00"/>
        <d v="2025-01-15T00:00:00"/>
        <d v="2025-01-18T00:00:00"/>
        <d v="2025-01-20T00:00:00"/>
        <d v="2025-02-02T00:00:00"/>
        <d v="2025-02-04T00:00:00"/>
        <d v="2025-02-06T00:00:00"/>
        <d v="2025-02-08T00:00:00"/>
        <d v="2025-02-10T00:00:00"/>
        <d v="2025-02-12T00:00:00"/>
        <d v="2025-02-15T00:00:00"/>
        <d v="2025-02-18T00:00:00"/>
        <d v="2025-02-20T00:00:00"/>
        <d v="2025-02-22T00:00:00"/>
      </sharedItems>
      <fieldGroup par="11"/>
    </cacheField>
    <cacheField name="Region" numFmtId="0">
      <sharedItems count="4">
        <s v="North"/>
        <s v="West"/>
        <s v="South"/>
        <s v="East"/>
      </sharedItems>
    </cacheField>
    <cacheField name="Customer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800" maxValue="60000"/>
    </cacheField>
    <cacheField name="Total" numFmtId="0">
      <sharedItems containsSemiMixedTypes="0" containsString="0" containsNumber="1" containsInteger="1" minValue="800" maxValue="600000"/>
    </cacheField>
    <cacheField name="Month" numFmtId="0">
      <sharedItems/>
    </cacheField>
    <cacheField name="Days (OrderDate)" numFmtId="0" databaseField="0">
      <fieldGroup base="1">
        <rangePr groupBy="days" startDate="2025-01-03T00:00:00" endDate="2025-02-23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2-2025"/>
        </groupItems>
      </fieldGroup>
    </cacheField>
    <cacheField name="Months (OrderDate)" numFmtId="0" databaseField="0">
      <fieldGroup base="1">
        <rangePr groupBy="months" startDate="2025-01-03T00:00:00" endDate="2025-02-23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001"/>
    <x v="0"/>
    <x v="0"/>
    <x v="0"/>
    <s v="Electronics"/>
    <s v="Laptop"/>
    <n v="2"/>
    <n v="55000"/>
    <n v="110000"/>
    <s v="01"/>
  </r>
  <r>
    <n v="1002"/>
    <x v="1"/>
    <x v="1"/>
    <x v="1"/>
    <s v="Furniture"/>
    <s v="Chair"/>
    <n v="5"/>
    <n v="3500"/>
    <n v="17500"/>
    <s v="01"/>
  </r>
  <r>
    <n v="1003"/>
    <x v="2"/>
    <x v="2"/>
    <x v="2"/>
    <s v="Electronics"/>
    <s v="Smartphone"/>
    <n v="3"/>
    <n v="22000"/>
    <n v="66000"/>
    <s v="01"/>
  </r>
  <r>
    <n v="1004"/>
    <x v="3"/>
    <x v="3"/>
    <x v="3"/>
    <s v="Clothing"/>
    <s v="Jacket"/>
    <n v="4"/>
    <n v="2500"/>
    <n v="10000"/>
    <s v="01"/>
  </r>
  <r>
    <n v="1005"/>
    <x v="4"/>
    <x v="0"/>
    <x v="1"/>
    <s v="Furniture"/>
    <s v="Table"/>
    <n v="2"/>
    <n v="12000"/>
    <n v="24000"/>
    <s v="01"/>
  </r>
  <r>
    <n v="1006"/>
    <x v="5"/>
    <x v="1"/>
    <x v="4"/>
    <s v="Electronics"/>
    <s v="Headphones"/>
    <n v="6"/>
    <n v="2000"/>
    <n v="12000"/>
    <s v="01"/>
  </r>
  <r>
    <n v="1007"/>
    <x v="6"/>
    <x v="2"/>
    <x v="0"/>
    <s v="Clothing"/>
    <s v="Shoes"/>
    <n v="3"/>
    <n v="3000"/>
    <n v="9000"/>
    <s v="01"/>
  </r>
  <r>
    <n v="1008"/>
    <x v="7"/>
    <x v="3"/>
    <x v="5"/>
    <s v="Electronics"/>
    <s v="Laptop"/>
    <n v="1"/>
    <n v="60000"/>
    <n v="60000"/>
    <s v="01"/>
  </r>
  <r>
    <n v="1009"/>
    <x v="8"/>
    <x v="0"/>
    <x v="6"/>
    <s v="Furniture"/>
    <s v="Sofa"/>
    <n v="1"/>
    <n v="45000"/>
    <n v="45000"/>
    <s v="01"/>
  </r>
  <r>
    <n v="1010"/>
    <x v="9"/>
    <x v="1"/>
    <x v="2"/>
    <s v="Clothing"/>
    <s v="T-shirt"/>
    <n v="10"/>
    <n v="800"/>
    <n v="8000"/>
    <s v="01"/>
  </r>
  <r>
    <n v="1011"/>
    <x v="10"/>
    <x v="2"/>
    <x v="7"/>
    <s v="Electronics"/>
    <s v="Smartphone"/>
    <n v="2"/>
    <n v="21000"/>
    <n v="42000"/>
    <s v="02"/>
  </r>
  <r>
    <n v="1012"/>
    <x v="11"/>
    <x v="3"/>
    <x v="1"/>
    <s v="Furniture"/>
    <s v="Chair"/>
    <n v="3"/>
    <n v="3500"/>
    <n v="10500"/>
    <s v="02"/>
  </r>
  <r>
    <n v="1013"/>
    <x v="12"/>
    <x v="0"/>
    <x v="8"/>
    <s v="Clothing"/>
    <s v="Jacket"/>
    <n v="2"/>
    <n v="2600"/>
    <n v="5200"/>
    <s v="02"/>
  </r>
  <r>
    <n v="1014"/>
    <x v="13"/>
    <x v="1"/>
    <x v="3"/>
    <s v="Electronics"/>
    <s v="Laptop"/>
    <n v="1"/>
    <n v="58000"/>
    <n v="58000"/>
    <s v="02"/>
  </r>
  <r>
    <n v="1015"/>
    <x v="14"/>
    <x v="2"/>
    <x v="9"/>
    <s v="Furniture"/>
    <s v="Table"/>
    <n v="1"/>
    <n v="11000"/>
    <n v="11000"/>
    <s v="02"/>
  </r>
  <r>
    <n v="1016"/>
    <x v="15"/>
    <x v="3"/>
    <x v="0"/>
    <s v="Electronics"/>
    <s v="Headphones"/>
    <n v="4"/>
    <n v="2200"/>
    <n v="8800"/>
    <s v="02"/>
  </r>
  <r>
    <n v="1017"/>
    <x v="16"/>
    <x v="0"/>
    <x v="4"/>
    <s v="Clothing"/>
    <s v="Shoes"/>
    <n v="2"/>
    <n v="3200"/>
    <n v="6400"/>
    <s v="02"/>
  </r>
  <r>
    <n v="1018"/>
    <x v="17"/>
    <x v="1"/>
    <x v="5"/>
    <s v="Furniture"/>
    <s v="Sofa"/>
    <n v="1"/>
    <n v="47000"/>
    <n v="47000"/>
    <s v="02"/>
  </r>
  <r>
    <n v="1019"/>
    <x v="18"/>
    <x v="2"/>
    <x v="6"/>
    <s v="Electronics"/>
    <s v="Laptop"/>
    <n v="1"/>
    <n v="59000"/>
    <n v="59000"/>
    <s v="02"/>
  </r>
  <r>
    <n v="1020"/>
    <x v="19"/>
    <x v="3"/>
    <x v="7"/>
    <s v="Clothing"/>
    <s v="T-shirt"/>
    <n v="5"/>
    <n v="850"/>
    <n v="4250"/>
    <s v="02"/>
  </r>
  <r>
    <n v="1021"/>
    <x v="0"/>
    <x v="0"/>
    <x v="0"/>
    <s v="Electronics"/>
    <s v="Laptop"/>
    <n v="2"/>
    <n v="3500"/>
    <n v="7000"/>
    <s v="01"/>
  </r>
  <r>
    <n v="1022"/>
    <x v="1"/>
    <x v="1"/>
    <x v="1"/>
    <s v="Furniture"/>
    <s v="Chair"/>
    <n v="5"/>
    <n v="2600"/>
    <n v="13000"/>
    <s v="01"/>
  </r>
  <r>
    <n v="1023"/>
    <x v="2"/>
    <x v="2"/>
    <x v="2"/>
    <s v="Electronics"/>
    <s v="Smartphone"/>
    <n v="3"/>
    <n v="58000"/>
    <n v="174000"/>
    <s v="01"/>
  </r>
  <r>
    <n v="1024"/>
    <x v="3"/>
    <x v="3"/>
    <x v="3"/>
    <s v="Clothing"/>
    <s v="Jacket"/>
    <n v="4"/>
    <n v="11000"/>
    <n v="44000"/>
    <s v="01"/>
  </r>
  <r>
    <n v="1025"/>
    <x v="4"/>
    <x v="0"/>
    <x v="1"/>
    <s v="Furniture"/>
    <s v="Table"/>
    <n v="2"/>
    <n v="2200"/>
    <n v="4400"/>
    <s v="01"/>
  </r>
  <r>
    <n v="1026"/>
    <x v="5"/>
    <x v="1"/>
    <x v="4"/>
    <s v="Electronics"/>
    <s v="Headphones"/>
    <n v="6"/>
    <n v="3200"/>
    <n v="19200"/>
    <s v="01"/>
  </r>
  <r>
    <n v="1027"/>
    <x v="6"/>
    <x v="2"/>
    <x v="0"/>
    <s v="Clothing"/>
    <s v="Shoes"/>
    <n v="3"/>
    <n v="47000"/>
    <n v="141000"/>
    <s v="01"/>
  </r>
  <r>
    <n v="1028"/>
    <x v="7"/>
    <x v="3"/>
    <x v="5"/>
    <s v="Electronics"/>
    <s v="Laptop"/>
    <n v="1"/>
    <n v="59000"/>
    <n v="59000"/>
    <s v="01"/>
  </r>
  <r>
    <n v="1029"/>
    <x v="8"/>
    <x v="0"/>
    <x v="6"/>
    <s v="Furniture"/>
    <s v="Sofa"/>
    <n v="1"/>
    <n v="850"/>
    <n v="850"/>
    <s v="01"/>
  </r>
  <r>
    <n v="1030"/>
    <x v="9"/>
    <x v="1"/>
    <x v="2"/>
    <s v="Clothing"/>
    <s v="T-shirt"/>
    <n v="10"/>
    <n v="2500"/>
    <n v="25000"/>
    <s v="01"/>
  </r>
  <r>
    <n v="1031"/>
    <x v="10"/>
    <x v="2"/>
    <x v="7"/>
    <s v="Electronics"/>
    <s v="Smartphone"/>
    <n v="2"/>
    <n v="12000"/>
    <n v="24000"/>
    <s v="02"/>
  </r>
  <r>
    <n v="1032"/>
    <x v="11"/>
    <x v="3"/>
    <x v="1"/>
    <s v="Furniture"/>
    <s v="Chair"/>
    <n v="3"/>
    <n v="2000"/>
    <n v="6000"/>
    <s v="02"/>
  </r>
  <r>
    <n v="1033"/>
    <x v="12"/>
    <x v="0"/>
    <x v="8"/>
    <s v="Clothing"/>
    <s v="Jacket"/>
    <n v="2"/>
    <n v="3000"/>
    <n v="6000"/>
    <s v="02"/>
  </r>
  <r>
    <n v="1034"/>
    <x v="13"/>
    <x v="1"/>
    <x v="3"/>
    <s v="Electronics"/>
    <s v="Laptop"/>
    <n v="1"/>
    <n v="60000"/>
    <n v="60000"/>
    <s v="02"/>
  </r>
  <r>
    <n v="1035"/>
    <x v="14"/>
    <x v="2"/>
    <x v="9"/>
    <s v="Furniture"/>
    <s v="Table"/>
    <n v="1"/>
    <n v="45000"/>
    <n v="45000"/>
    <s v="02"/>
  </r>
  <r>
    <n v="1036"/>
    <x v="15"/>
    <x v="3"/>
    <x v="0"/>
    <s v="Electronics"/>
    <s v="Headphones"/>
    <n v="4"/>
    <n v="800"/>
    <n v="3200"/>
    <s v="02"/>
  </r>
  <r>
    <n v="1037"/>
    <x v="16"/>
    <x v="0"/>
    <x v="4"/>
    <s v="Clothing"/>
    <s v="Shoes"/>
    <n v="2"/>
    <n v="21000"/>
    <n v="42000"/>
    <s v="02"/>
  </r>
  <r>
    <n v="1038"/>
    <x v="17"/>
    <x v="1"/>
    <x v="5"/>
    <s v="Furniture"/>
    <s v="Sofa"/>
    <n v="1"/>
    <n v="3500"/>
    <n v="3500"/>
    <s v="02"/>
  </r>
  <r>
    <n v="1039"/>
    <x v="18"/>
    <x v="2"/>
    <x v="6"/>
    <s v="Electronics"/>
    <s v="Laptop"/>
    <n v="1"/>
    <n v="2600"/>
    <n v="2600"/>
    <s v="02"/>
  </r>
  <r>
    <n v="1040"/>
    <x v="19"/>
    <x v="3"/>
    <x v="7"/>
    <s v="Clothing"/>
    <s v="T-shirt"/>
    <n v="5"/>
    <n v="58000"/>
    <n v="290000"/>
    <s v="02"/>
  </r>
  <r>
    <n v="1041"/>
    <x v="0"/>
    <x v="0"/>
    <x v="0"/>
    <s v="Electronics"/>
    <s v="Laptop"/>
    <n v="2"/>
    <n v="11000"/>
    <n v="22000"/>
    <s v="01"/>
  </r>
  <r>
    <n v="1042"/>
    <x v="1"/>
    <x v="1"/>
    <x v="1"/>
    <s v="Furniture"/>
    <s v="Chair"/>
    <n v="5"/>
    <n v="2200"/>
    <n v="11000"/>
    <s v="01"/>
  </r>
  <r>
    <n v="1043"/>
    <x v="2"/>
    <x v="2"/>
    <x v="2"/>
    <s v="Electronics"/>
    <s v="Smartphone"/>
    <n v="3"/>
    <n v="55000"/>
    <n v="165000"/>
    <s v="01"/>
  </r>
  <r>
    <n v="1044"/>
    <x v="3"/>
    <x v="3"/>
    <x v="3"/>
    <s v="Clothing"/>
    <s v="Jacket"/>
    <n v="4"/>
    <n v="3500"/>
    <n v="14000"/>
    <s v="01"/>
  </r>
  <r>
    <n v="1045"/>
    <x v="4"/>
    <x v="0"/>
    <x v="1"/>
    <s v="Furniture"/>
    <s v="Table"/>
    <n v="2"/>
    <n v="22000"/>
    <n v="44000"/>
    <s v="01"/>
  </r>
  <r>
    <n v="1046"/>
    <x v="5"/>
    <x v="1"/>
    <x v="4"/>
    <s v="Electronics"/>
    <s v="Headphones"/>
    <n v="6"/>
    <n v="2500"/>
    <n v="15000"/>
    <s v="01"/>
  </r>
  <r>
    <n v="1047"/>
    <x v="6"/>
    <x v="2"/>
    <x v="0"/>
    <s v="Clothing"/>
    <s v="Shoes"/>
    <n v="3"/>
    <n v="12000"/>
    <n v="36000"/>
    <s v="01"/>
  </r>
  <r>
    <n v="1048"/>
    <x v="7"/>
    <x v="3"/>
    <x v="5"/>
    <s v="Electronics"/>
    <s v="Laptop"/>
    <n v="1"/>
    <n v="2000"/>
    <n v="2000"/>
    <s v="01"/>
  </r>
  <r>
    <n v="1049"/>
    <x v="8"/>
    <x v="0"/>
    <x v="6"/>
    <s v="Furniture"/>
    <s v="Sofa"/>
    <n v="1"/>
    <n v="3000"/>
    <n v="3000"/>
    <s v="01"/>
  </r>
  <r>
    <n v="1050"/>
    <x v="9"/>
    <x v="1"/>
    <x v="2"/>
    <s v="Clothing"/>
    <s v="T-shirt"/>
    <n v="10"/>
    <n v="60000"/>
    <n v="600000"/>
    <s v="01"/>
  </r>
  <r>
    <n v="1051"/>
    <x v="10"/>
    <x v="2"/>
    <x v="7"/>
    <s v="Electronics"/>
    <s v="Smartphone"/>
    <n v="2"/>
    <n v="45000"/>
    <n v="90000"/>
    <s v="02"/>
  </r>
  <r>
    <n v="1052"/>
    <x v="11"/>
    <x v="3"/>
    <x v="1"/>
    <s v="Furniture"/>
    <s v="Chair"/>
    <n v="3"/>
    <n v="800"/>
    <n v="2400"/>
    <s v="02"/>
  </r>
  <r>
    <n v="1053"/>
    <x v="12"/>
    <x v="0"/>
    <x v="8"/>
    <s v="Clothing"/>
    <s v="Jacket"/>
    <n v="2"/>
    <n v="21000"/>
    <n v="42000"/>
    <s v="02"/>
  </r>
  <r>
    <n v="1054"/>
    <x v="13"/>
    <x v="1"/>
    <x v="3"/>
    <s v="Electronics"/>
    <s v="Laptop"/>
    <n v="1"/>
    <n v="3500"/>
    <n v="3500"/>
    <s v="02"/>
  </r>
  <r>
    <n v="1055"/>
    <x v="14"/>
    <x v="2"/>
    <x v="9"/>
    <s v="Furniture"/>
    <s v="Table"/>
    <n v="1"/>
    <n v="2600"/>
    <n v="2600"/>
    <s v="02"/>
  </r>
  <r>
    <n v="1056"/>
    <x v="15"/>
    <x v="3"/>
    <x v="0"/>
    <s v="Electronics"/>
    <s v="Headphones"/>
    <n v="4"/>
    <n v="58000"/>
    <n v="232000"/>
    <s v="02"/>
  </r>
  <r>
    <n v="1057"/>
    <x v="16"/>
    <x v="0"/>
    <x v="4"/>
    <s v="Clothing"/>
    <s v="Shoes"/>
    <n v="2"/>
    <n v="11000"/>
    <n v="22000"/>
    <s v="02"/>
  </r>
  <r>
    <n v="1058"/>
    <x v="17"/>
    <x v="1"/>
    <x v="5"/>
    <s v="Furniture"/>
    <s v="Sofa"/>
    <n v="1"/>
    <n v="2200"/>
    <n v="2200"/>
    <s v="02"/>
  </r>
  <r>
    <n v="1059"/>
    <x v="18"/>
    <x v="2"/>
    <x v="6"/>
    <s v="Electronics"/>
    <s v="Laptop"/>
    <n v="1"/>
    <n v="3200"/>
    <n v="3200"/>
    <s v="02"/>
  </r>
  <r>
    <n v="1060"/>
    <x v="19"/>
    <x v="3"/>
    <x v="7"/>
    <s v="Clothing"/>
    <s v="T-shirt"/>
    <n v="5"/>
    <n v="47000"/>
    <n v="235000"/>
    <s v="02"/>
  </r>
  <r>
    <n v="1061"/>
    <x v="0"/>
    <x v="0"/>
    <x v="0"/>
    <s v="Electronics"/>
    <s v="Laptop"/>
    <n v="2"/>
    <n v="59000"/>
    <n v="118000"/>
    <s v="01"/>
  </r>
  <r>
    <n v="1062"/>
    <x v="1"/>
    <x v="1"/>
    <x v="1"/>
    <s v="Furniture"/>
    <s v="Chair"/>
    <n v="5"/>
    <n v="850"/>
    <n v="4250"/>
    <s v="01"/>
  </r>
  <r>
    <n v="1063"/>
    <x v="2"/>
    <x v="2"/>
    <x v="2"/>
    <s v="Electronics"/>
    <s v="Smartphone"/>
    <n v="3"/>
    <n v="3500"/>
    <n v="10500"/>
    <s v="01"/>
  </r>
  <r>
    <n v="1064"/>
    <x v="3"/>
    <x v="3"/>
    <x v="3"/>
    <s v="Clothing"/>
    <s v="Jacket"/>
    <n v="4"/>
    <n v="2600"/>
    <n v="10400"/>
    <s v="01"/>
  </r>
  <r>
    <n v="1065"/>
    <x v="4"/>
    <x v="0"/>
    <x v="1"/>
    <s v="Furniture"/>
    <s v="Table"/>
    <n v="2"/>
    <n v="58000"/>
    <n v="116000"/>
    <s v="01"/>
  </r>
  <r>
    <n v="1066"/>
    <x v="5"/>
    <x v="1"/>
    <x v="4"/>
    <s v="Electronics"/>
    <s v="Headphones"/>
    <n v="6"/>
    <n v="11000"/>
    <n v="66000"/>
    <s v="01"/>
  </r>
  <r>
    <n v="1067"/>
    <x v="6"/>
    <x v="2"/>
    <x v="0"/>
    <s v="Clothing"/>
    <s v="Shoes"/>
    <n v="3"/>
    <n v="2200"/>
    <n v="6600"/>
    <s v="01"/>
  </r>
  <r>
    <n v="1068"/>
    <x v="7"/>
    <x v="3"/>
    <x v="5"/>
    <s v="Electronics"/>
    <s v="Laptop"/>
    <n v="1"/>
    <n v="3200"/>
    <n v="3200"/>
    <s v="01"/>
  </r>
  <r>
    <n v="1069"/>
    <x v="8"/>
    <x v="0"/>
    <x v="6"/>
    <s v="Furniture"/>
    <s v="Sofa"/>
    <n v="1"/>
    <n v="47000"/>
    <n v="47000"/>
    <s v="01"/>
  </r>
  <r>
    <n v="1070"/>
    <x v="9"/>
    <x v="1"/>
    <x v="2"/>
    <s v="Clothing"/>
    <s v="T-shirt"/>
    <n v="10"/>
    <n v="59000"/>
    <n v="590000"/>
    <s v="01"/>
  </r>
  <r>
    <n v="1071"/>
    <x v="10"/>
    <x v="2"/>
    <x v="7"/>
    <s v="Electronics"/>
    <s v="Smartphone"/>
    <n v="2"/>
    <n v="850"/>
    <n v="1700"/>
    <s v="02"/>
  </r>
  <r>
    <n v="1072"/>
    <x v="11"/>
    <x v="3"/>
    <x v="1"/>
    <s v="Furniture"/>
    <s v="Chair"/>
    <n v="3"/>
    <n v="2500"/>
    <n v="7500"/>
    <s v="02"/>
  </r>
  <r>
    <n v="1073"/>
    <x v="12"/>
    <x v="0"/>
    <x v="8"/>
    <s v="Clothing"/>
    <s v="Jacket"/>
    <n v="2"/>
    <n v="12000"/>
    <n v="24000"/>
    <s v="02"/>
  </r>
  <r>
    <n v="1074"/>
    <x v="13"/>
    <x v="1"/>
    <x v="3"/>
    <s v="Electronics"/>
    <s v="Laptop"/>
    <n v="1"/>
    <n v="2000"/>
    <n v="2000"/>
    <s v="02"/>
  </r>
  <r>
    <n v="1075"/>
    <x v="14"/>
    <x v="2"/>
    <x v="9"/>
    <s v="Furniture"/>
    <s v="Table"/>
    <n v="1"/>
    <n v="3000"/>
    <n v="3000"/>
    <s v="02"/>
  </r>
  <r>
    <n v="1076"/>
    <x v="15"/>
    <x v="3"/>
    <x v="0"/>
    <s v="Electronics"/>
    <s v="Headphones"/>
    <n v="4"/>
    <n v="60000"/>
    <n v="240000"/>
    <s v="02"/>
  </r>
  <r>
    <n v="1077"/>
    <x v="16"/>
    <x v="0"/>
    <x v="4"/>
    <s v="Clothing"/>
    <s v="Shoes"/>
    <n v="2"/>
    <n v="45000"/>
    <n v="90000"/>
    <s v="02"/>
  </r>
  <r>
    <n v="1078"/>
    <x v="17"/>
    <x v="1"/>
    <x v="5"/>
    <s v="Furniture"/>
    <s v="Sofa"/>
    <n v="1"/>
    <n v="800"/>
    <n v="800"/>
    <s v="02"/>
  </r>
  <r>
    <n v="1079"/>
    <x v="18"/>
    <x v="2"/>
    <x v="6"/>
    <s v="Electronics"/>
    <s v="Laptop"/>
    <n v="1"/>
    <n v="21000"/>
    <n v="21000"/>
    <s v="02"/>
  </r>
  <r>
    <n v="1080"/>
    <x v="19"/>
    <x v="3"/>
    <x v="7"/>
    <s v="Clothing"/>
    <s v="T-shirt"/>
    <n v="5"/>
    <n v="3500"/>
    <n v="17500"/>
    <s v="02"/>
  </r>
  <r>
    <n v="1081"/>
    <x v="0"/>
    <x v="0"/>
    <x v="0"/>
    <s v="Electronics"/>
    <s v="Laptop"/>
    <n v="2"/>
    <n v="2600"/>
    <n v="5200"/>
    <s v="01"/>
  </r>
  <r>
    <n v="1082"/>
    <x v="1"/>
    <x v="1"/>
    <x v="1"/>
    <s v="Furniture"/>
    <s v="Chair"/>
    <n v="5"/>
    <n v="58000"/>
    <n v="290000"/>
    <s v="01"/>
  </r>
  <r>
    <n v="1083"/>
    <x v="2"/>
    <x v="2"/>
    <x v="2"/>
    <s v="Electronics"/>
    <s v="Smartphone"/>
    <n v="3"/>
    <n v="11000"/>
    <n v="33000"/>
    <s v="01"/>
  </r>
  <r>
    <n v="1084"/>
    <x v="3"/>
    <x v="3"/>
    <x v="3"/>
    <s v="Clothing"/>
    <s v="Jacket"/>
    <n v="4"/>
    <n v="2200"/>
    <n v="8800"/>
    <s v="01"/>
  </r>
  <r>
    <n v="1085"/>
    <x v="4"/>
    <x v="0"/>
    <x v="1"/>
    <s v="Furniture"/>
    <s v="Table"/>
    <n v="2"/>
    <n v="55000"/>
    <n v="110000"/>
    <s v="01"/>
  </r>
  <r>
    <n v="1086"/>
    <x v="5"/>
    <x v="1"/>
    <x v="4"/>
    <s v="Electronics"/>
    <s v="Headphones"/>
    <n v="6"/>
    <n v="3500"/>
    <n v="21000"/>
    <s v="01"/>
  </r>
  <r>
    <n v="1087"/>
    <x v="6"/>
    <x v="2"/>
    <x v="0"/>
    <s v="Clothing"/>
    <s v="Shoes"/>
    <n v="3"/>
    <n v="22000"/>
    <n v="66000"/>
    <s v="01"/>
  </r>
  <r>
    <n v="1088"/>
    <x v="7"/>
    <x v="3"/>
    <x v="5"/>
    <s v="Electronics"/>
    <s v="Laptop"/>
    <n v="1"/>
    <n v="2500"/>
    <n v="2500"/>
    <s v="01"/>
  </r>
  <r>
    <n v="1089"/>
    <x v="8"/>
    <x v="0"/>
    <x v="6"/>
    <s v="Furniture"/>
    <s v="Sofa"/>
    <n v="1"/>
    <n v="12000"/>
    <n v="12000"/>
    <s v="01"/>
  </r>
  <r>
    <n v="1090"/>
    <x v="9"/>
    <x v="1"/>
    <x v="2"/>
    <s v="Clothing"/>
    <s v="T-shirt"/>
    <n v="10"/>
    <n v="2000"/>
    <n v="20000"/>
    <s v="01"/>
  </r>
  <r>
    <n v="1091"/>
    <x v="10"/>
    <x v="2"/>
    <x v="7"/>
    <s v="Electronics"/>
    <s v="Smartphone"/>
    <n v="2"/>
    <n v="3000"/>
    <n v="6000"/>
    <s v="02"/>
  </r>
  <r>
    <n v="1092"/>
    <x v="11"/>
    <x v="3"/>
    <x v="1"/>
    <s v="Furniture"/>
    <s v="Chair"/>
    <n v="3"/>
    <n v="60000"/>
    <n v="180000"/>
    <s v="02"/>
  </r>
  <r>
    <n v="1093"/>
    <x v="12"/>
    <x v="0"/>
    <x v="8"/>
    <s v="Clothing"/>
    <s v="Jacket"/>
    <n v="2"/>
    <n v="45000"/>
    <n v="90000"/>
    <s v="02"/>
  </r>
  <r>
    <n v="1094"/>
    <x v="13"/>
    <x v="1"/>
    <x v="3"/>
    <s v="Electronics"/>
    <s v="Laptop"/>
    <n v="1"/>
    <n v="800"/>
    <n v="800"/>
    <s v="02"/>
  </r>
  <r>
    <n v="1095"/>
    <x v="14"/>
    <x v="2"/>
    <x v="9"/>
    <s v="Furniture"/>
    <s v="Table"/>
    <n v="1"/>
    <n v="21000"/>
    <n v="21000"/>
    <s v="02"/>
  </r>
  <r>
    <n v="1096"/>
    <x v="15"/>
    <x v="3"/>
    <x v="0"/>
    <s v="Electronics"/>
    <s v="Headphones"/>
    <n v="4"/>
    <n v="3500"/>
    <n v="14000"/>
    <s v="02"/>
  </r>
  <r>
    <n v="1097"/>
    <x v="16"/>
    <x v="0"/>
    <x v="4"/>
    <s v="Clothing"/>
    <s v="Shoes"/>
    <n v="2"/>
    <n v="2600"/>
    <n v="5200"/>
    <s v="02"/>
  </r>
  <r>
    <n v="1098"/>
    <x v="17"/>
    <x v="1"/>
    <x v="5"/>
    <s v="Furniture"/>
    <s v="Sofa"/>
    <n v="1"/>
    <n v="58000"/>
    <n v="58000"/>
    <s v="02"/>
  </r>
  <r>
    <n v="1099"/>
    <x v="18"/>
    <x v="2"/>
    <x v="6"/>
    <s v="Electronics"/>
    <s v="Laptop"/>
    <n v="1"/>
    <n v="11000"/>
    <n v="11000"/>
    <s v="02"/>
  </r>
  <r>
    <n v="1100"/>
    <x v="19"/>
    <x v="3"/>
    <x v="7"/>
    <s v="Clothing"/>
    <s v="T-shirt"/>
    <n v="5"/>
    <n v="2200"/>
    <n v="11000"/>
    <s v="02"/>
  </r>
  <r>
    <n v="1101"/>
    <x v="0"/>
    <x v="0"/>
    <x v="0"/>
    <s v="Electronics"/>
    <s v="Laptop"/>
    <n v="2"/>
    <n v="3200"/>
    <n v="6400"/>
    <s v="01"/>
  </r>
  <r>
    <n v="1102"/>
    <x v="1"/>
    <x v="1"/>
    <x v="1"/>
    <s v="Furniture"/>
    <s v="Chair"/>
    <n v="5"/>
    <n v="47000"/>
    <n v="235000"/>
    <s v="01"/>
  </r>
  <r>
    <n v="1103"/>
    <x v="2"/>
    <x v="2"/>
    <x v="2"/>
    <s v="Electronics"/>
    <s v="Smartphone"/>
    <n v="3"/>
    <n v="59000"/>
    <n v="177000"/>
    <s v="01"/>
  </r>
  <r>
    <n v="1104"/>
    <x v="3"/>
    <x v="3"/>
    <x v="3"/>
    <s v="Clothing"/>
    <s v="Jacket"/>
    <n v="4"/>
    <n v="850"/>
    <n v="3400"/>
    <s v="01"/>
  </r>
  <r>
    <n v="1105"/>
    <x v="4"/>
    <x v="0"/>
    <x v="1"/>
    <s v="Furniture"/>
    <s v="Table"/>
    <n v="2"/>
    <n v="3500"/>
    <n v="7000"/>
    <s v="01"/>
  </r>
  <r>
    <n v="1106"/>
    <x v="5"/>
    <x v="1"/>
    <x v="4"/>
    <s v="Electronics"/>
    <s v="Headphones"/>
    <n v="6"/>
    <n v="2600"/>
    <n v="15600"/>
    <s v="01"/>
  </r>
  <r>
    <n v="1107"/>
    <x v="6"/>
    <x v="2"/>
    <x v="0"/>
    <s v="Clothing"/>
    <s v="Shoes"/>
    <n v="3"/>
    <n v="58000"/>
    <n v="174000"/>
    <s v="01"/>
  </r>
  <r>
    <n v="1108"/>
    <x v="7"/>
    <x v="3"/>
    <x v="5"/>
    <s v="Electronics"/>
    <s v="Laptop"/>
    <n v="1"/>
    <n v="11000"/>
    <n v="11000"/>
    <s v="01"/>
  </r>
  <r>
    <n v="1109"/>
    <x v="8"/>
    <x v="0"/>
    <x v="6"/>
    <s v="Furniture"/>
    <s v="Sofa"/>
    <n v="1"/>
    <n v="2200"/>
    <n v="2200"/>
    <s v="01"/>
  </r>
  <r>
    <n v="1110"/>
    <x v="9"/>
    <x v="1"/>
    <x v="2"/>
    <s v="Clothing"/>
    <s v="T-shirt"/>
    <n v="10"/>
    <n v="3200"/>
    <n v="32000"/>
    <s v="01"/>
  </r>
  <r>
    <n v="1111"/>
    <x v="10"/>
    <x v="2"/>
    <x v="7"/>
    <s v="Electronics"/>
    <s v="Smartphone"/>
    <n v="2"/>
    <n v="47000"/>
    <n v="94000"/>
    <s v="02"/>
  </r>
  <r>
    <n v="1112"/>
    <x v="11"/>
    <x v="3"/>
    <x v="1"/>
    <s v="Furniture"/>
    <s v="Chair"/>
    <n v="3"/>
    <n v="59000"/>
    <n v="177000"/>
    <s v="02"/>
  </r>
  <r>
    <n v="1113"/>
    <x v="12"/>
    <x v="0"/>
    <x v="8"/>
    <s v="Clothing"/>
    <s v="Jacket"/>
    <n v="2"/>
    <n v="850"/>
    <n v="1700"/>
    <s v="02"/>
  </r>
  <r>
    <n v="1114"/>
    <x v="13"/>
    <x v="1"/>
    <x v="3"/>
    <s v="Electronics"/>
    <s v="Laptop"/>
    <n v="1"/>
    <n v="2500"/>
    <n v="2500"/>
    <s v="02"/>
  </r>
  <r>
    <n v="1115"/>
    <x v="14"/>
    <x v="2"/>
    <x v="9"/>
    <s v="Furniture"/>
    <s v="Table"/>
    <n v="1"/>
    <n v="12000"/>
    <n v="12000"/>
    <s v="02"/>
  </r>
  <r>
    <n v="1116"/>
    <x v="15"/>
    <x v="3"/>
    <x v="0"/>
    <s v="Electronics"/>
    <s v="Headphones"/>
    <n v="4"/>
    <n v="2000"/>
    <n v="8000"/>
    <s v="02"/>
  </r>
  <r>
    <n v="1117"/>
    <x v="16"/>
    <x v="0"/>
    <x v="4"/>
    <s v="Clothing"/>
    <s v="Shoes"/>
    <n v="2"/>
    <n v="3000"/>
    <n v="6000"/>
    <s v="02"/>
  </r>
  <r>
    <n v="1118"/>
    <x v="17"/>
    <x v="1"/>
    <x v="5"/>
    <s v="Furniture"/>
    <s v="Sofa"/>
    <n v="1"/>
    <n v="60000"/>
    <n v="60000"/>
    <s v="02"/>
  </r>
  <r>
    <n v="1119"/>
    <x v="18"/>
    <x v="2"/>
    <x v="6"/>
    <s v="Electronics"/>
    <s v="Laptop"/>
    <n v="1"/>
    <n v="45000"/>
    <n v="45000"/>
    <s v="02"/>
  </r>
  <r>
    <n v="1120"/>
    <x v="19"/>
    <x v="3"/>
    <x v="7"/>
    <s v="Clothing"/>
    <s v="T-shirt"/>
    <n v="5"/>
    <n v="800"/>
    <n v="4000"/>
    <s v="02"/>
  </r>
  <r>
    <n v="1121"/>
    <x v="0"/>
    <x v="0"/>
    <x v="0"/>
    <s v="Electronics"/>
    <s v="Laptop"/>
    <n v="2"/>
    <n v="21000"/>
    <n v="42000"/>
    <s v="01"/>
  </r>
  <r>
    <n v="1122"/>
    <x v="1"/>
    <x v="1"/>
    <x v="1"/>
    <s v="Furniture"/>
    <s v="Chair"/>
    <n v="5"/>
    <n v="3500"/>
    <n v="17500"/>
    <s v="01"/>
  </r>
  <r>
    <n v="1123"/>
    <x v="2"/>
    <x v="2"/>
    <x v="2"/>
    <s v="Electronics"/>
    <s v="Smartphone"/>
    <n v="3"/>
    <n v="2600"/>
    <n v="7800"/>
    <s v="01"/>
  </r>
  <r>
    <n v="1124"/>
    <x v="3"/>
    <x v="3"/>
    <x v="3"/>
    <s v="Clothing"/>
    <s v="Jacket"/>
    <n v="4"/>
    <n v="58000"/>
    <n v="232000"/>
    <s v="01"/>
  </r>
  <r>
    <n v="1125"/>
    <x v="4"/>
    <x v="0"/>
    <x v="1"/>
    <s v="Furniture"/>
    <s v="Table"/>
    <n v="2"/>
    <n v="11000"/>
    <n v="22000"/>
    <s v="01"/>
  </r>
  <r>
    <n v="1126"/>
    <x v="5"/>
    <x v="1"/>
    <x v="4"/>
    <s v="Electronics"/>
    <s v="Headphones"/>
    <n v="6"/>
    <n v="2200"/>
    <n v="13200"/>
    <s v="01"/>
  </r>
  <r>
    <n v="1127"/>
    <x v="6"/>
    <x v="2"/>
    <x v="0"/>
    <s v="Clothing"/>
    <s v="Shoes"/>
    <n v="3"/>
    <n v="55000"/>
    <n v="165000"/>
    <s v="01"/>
  </r>
  <r>
    <n v="1128"/>
    <x v="7"/>
    <x v="3"/>
    <x v="5"/>
    <s v="Electronics"/>
    <s v="Laptop"/>
    <n v="1"/>
    <n v="3500"/>
    <n v="3500"/>
    <s v="01"/>
  </r>
  <r>
    <n v="1129"/>
    <x v="8"/>
    <x v="0"/>
    <x v="6"/>
    <s v="Furniture"/>
    <s v="Sofa"/>
    <n v="1"/>
    <n v="22000"/>
    <n v="22000"/>
    <s v="01"/>
  </r>
  <r>
    <n v="1130"/>
    <x v="9"/>
    <x v="1"/>
    <x v="2"/>
    <s v="Clothing"/>
    <s v="T-shirt"/>
    <n v="10"/>
    <n v="2500"/>
    <n v="25000"/>
    <s v="01"/>
  </r>
  <r>
    <n v="1131"/>
    <x v="10"/>
    <x v="2"/>
    <x v="7"/>
    <s v="Electronics"/>
    <s v="Smartphone"/>
    <n v="2"/>
    <n v="12000"/>
    <n v="24000"/>
    <s v="02"/>
  </r>
  <r>
    <n v="1132"/>
    <x v="11"/>
    <x v="3"/>
    <x v="1"/>
    <s v="Furniture"/>
    <s v="Chair"/>
    <n v="3"/>
    <n v="2000"/>
    <n v="6000"/>
    <s v="02"/>
  </r>
  <r>
    <n v="1133"/>
    <x v="12"/>
    <x v="0"/>
    <x v="8"/>
    <s v="Clothing"/>
    <s v="Jacket"/>
    <n v="2"/>
    <n v="3000"/>
    <n v="6000"/>
    <s v="02"/>
  </r>
  <r>
    <n v="1134"/>
    <x v="13"/>
    <x v="1"/>
    <x v="3"/>
    <s v="Electronics"/>
    <s v="Laptop"/>
    <n v="1"/>
    <n v="60000"/>
    <n v="60000"/>
    <s v="02"/>
  </r>
  <r>
    <n v="1135"/>
    <x v="14"/>
    <x v="2"/>
    <x v="9"/>
    <s v="Furniture"/>
    <s v="Table"/>
    <n v="1"/>
    <n v="45000"/>
    <n v="45000"/>
    <s v="02"/>
  </r>
  <r>
    <n v="1136"/>
    <x v="15"/>
    <x v="3"/>
    <x v="0"/>
    <s v="Electronics"/>
    <s v="Headphones"/>
    <n v="4"/>
    <n v="800"/>
    <n v="3200"/>
    <s v="02"/>
  </r>
  <r>
    <n v="1137"/>
    <x v="16"/>
    <x v="0"/>
    <x v="4"/>
    <s v="Clothing"/>
    <s v="Shoes"/>
    <n v="2"/>
    <n v="21000"/>
    <n v="42000"/>
    <s v="02"/>
  </r>
  <r>
    <n v="1138"/>
    <x v="17"/>
    <x v="1"/>
    <x v="5"/>
    <s v="Furniture"/>
    <s v="Sofa"/>
    <n v="1"/>
    <n v="3500"/>
    <n v="3500"/>
    <s v="02"/>
  </r>
  <r>
    <n v="1139"/>
    <x v="18"/>
    <x v="2"/>
    <x v="6"/>
    <s v="Electronics"/>
    <s v="Laptop"/>
    <n v="1"/>
    <n v="2600"/>
    <n v="2600"/>
    <s v="02"/>
  </r>
  <r>
    <n v="1140"/>
    <x v="19"/>
    <x v="3"/>
    <x v="7"/>
    <s v="Clothing"/>
    <s v="T-shirt"/>
    <n v="5"/>
    <n v="58000"/>
    <n v="290000"/>
    <s v="02"/>
  </r>
  <r>
    <n v="1141"/>
    <x v="0"/>
    <x v="0"/>
    <x v="0"/>
    <s v="Electronics"/>
    <s v="Laptop"/>
    <n v="2"/>
    <n v="11000"/>
    <n v="22000"/>
    <s v="01"/>
  </r>
  <r>
    <n v="1142"/>
    <x v="1"/>
    <x v="1"/>
    <x v="1"/>
    <s v="Furniture"/>
    <s v="Chair"/>
    <n v="5"/>
    <n v="2200"/>
    <n v="11000"/>
    <s v="01"/>
  </r>
  <r>
    <n v="1143"/>
    <x v="2"/>
    <x v="2"/>
    <x v="2"/>
    <s v="Electronics"/>
    <s v="Smartphone"/>
    <n v="3"/>
    <n v="3200"/>
    <n v="9600"/>
    <s v="01"/>
  </r>
  <r>
    <n v="1144"/>
    <x v="3"/>
    <x v="3"/>
    <x v="3"/>
    <s v="Clothing"/>
    <s v="Jacket"/>
    <n v="4"/>
    <n v="47000"/>
    <n v="188000"/>
    <s v="01"/>
  </r>
  <r>
    <n v="1145"/>
    <x v="4"/>
    <x v="0"/>
    <x v="1"/>
    <s v="Furniture"/>
    <s v="Table"/>
    <n v="2"/>
    <n v="59000"/>
    <n v="118000"/>
    <s v="01"/>
  </r>
  <r>
    <n v="1146"/>
    <x v="5"/>
    <x v="1"/>
    <x v="4"/>
    <s v="Electronics"/>
    <s v="Headphones"/>
    <n v="6"/>
    <n v="850"/>
    <n v="5100"/>
    <s v="01"/>
  </r>
  <r>
    <n v="1147"/>
    <x v="6"/>
    <x v="2"/>
    <x v="0"/>
    <s v="Clothing"/>
    <s v="Shoes"/>
    <n v="3"/>
    <n v="3500"/>
    <n v="10500"/>
    <s v="01"/>
  </r>
  <r>
    <n v="1148"/>
    <x v="7"/>
    <x v="3"/>
    <x v="5"/>
    <s v="Electronics"/>
    <s v="Laptop"/>
    <n v="1"/>
    <n v="2600"/>
    <n v="2600"/>
    <s v="01"/>
  </r>
  <r>
    <n v="1149"/>
    <x v="8"/>
    <x v="0"/>
    <x v="6"/>
    <s v="Furniture"/>
    <s v="Sofa"/>
    <n v="1"/>
    <n v="58000"/>
    <n v="58000"/>
    <s v="01"/>
  </r>
  <r>
    <n v="1150"/>
    <x v="9"/>
    <x v="1"/>
    <x v="2"/>
    <s v="Clothing"/>
    <s v="T-shirt"/>
    <n v="10"/>
    <n v="11000"/>
    <n v="110000"/>
    <s v="01"/>
  </r>
  <r>
    <n v="1151"/>
    <x v="10"/>
    <x v="2"/>
    <x v="7"/>
    <s v="Electronics"/>
    <s v="Smartphone"/>
    <n v="2"/>
    <n v="2200"/>
    <n v="4400"/>
    <s v="02"/>
  </r>
  <r>
    <n v="1152"/>
    <x v="11"/>
    <x v="3"/>
    <x v="1"/>
    <s v="Furniture"/>
    <s v="Chair"/>
    <n v="3"/>
    <n v="3200"/>
    <n v="9600"/>
    <s v="02"/>
  </r>
  <r>
    <n v="1153"/>
    <x v="12"/>
    <x v="0"/>
    <x v="8"/>
    <s v="Clothing"/>
    <s v="Jacket"/>
    <n v="2"/>
    <n v="47000"/>
    <n v="94000"/>
    <s v="02"/>
  </r>
  <r>
    <n v="1154"/>
    <x v="13"/>
    <x v="1"/>
    <x v="3"/>
    <s v="Electronics"/>
    <s v="Laptop"/>
    <n v="1"/>
    <n v="59000"/>
    <n v="59000"/>
    <s v="02"/>
  </r>
  <r>
    <n v="1155"/>
    <x v="14"/>
    <x v="2"/>
    <x v="9"/>
    <s v="Furniture"/>
    <s v="Table"/>
    <n v="1"/>
    <n v="850"/>
    <n v="850"/>
    <s v="02"/>
  </r>
  <r>
    <n v="1156"/>
    <x v="15"/>
    <x v="3"/>
    <x v="0"/>
    <s v="Electronics"/>
    <s v="Headphones"/>
    <n v="4"/>
    <n v="2500"/>
    <n v="10000"/>
    <s v="02"/>
  </r>
  <r>
    <n v="1157"/>
    <x v="16"/>
    <x v="0"/>
    <x v="4"/>
    <s v="Clothing"/>
    <s v="Shoes"/>
    <n v="2"/>
    <n v="12000"/>
    <n v="24000"/>
    <s v="02"/>
  </r>
  <r>
    <n v="1158"/>
    <x v="17"/>
    <x v="1"/>
    <x v="5"/>
    <s v="Furniture"/>
    <s v="Sofa"/>
    <n v="1"/>
    <n v="2000"/>
    <n v="2000"/>
    <s v="02"/>
  </r>
  <r>
    <n v="1159"/>
    <x v="18"/>
    <x v="2"/>
    <x v="6"/>
    <s v="Electronics"/>
    <s v="Laptop"/>
    <n v="1"/>
    <n v="3000"/>
    <n v="3000"/>
    <s v="02"/>
  </r>
  <r>
    <n v="1160"/>
    <x v="19"/>
    <x v="3"/>
    <x v="7"/>
    <s v="Clothing"/>
    <s v="T-shirt"/>
    <n v="5"/>
    <n v="60000"/>
    <n v="300000"/>
    <s v="02"/>
  </r>
  <r>
    <n v="1161"/>
    <x v="0"/>
    <x v="0"/>
    <x v="0"/>
    <s v="Electronics"/>
    <s v="Laptop"/>
    <n v="2"/>
    <n v="45000"/>
    <n v="90000"/>
    <s v="01"/>
  </r>
  <r>
    <n v="1162"/>
    <x v="1"/>
    <x v="1"/>
    <x v="1"/>
    <s v="Furniture"/>
    <s v="Chair"/>
    <n v="5"/>
    <n v="800"/>
    <n v="4000"/>
    <s v="01"/>
  </r>
  <r>
    <n v="1163"/>
    <x v="2"/>
    <x v="2"/>
    <x v="2"/>
    <s v="Electronics"/>
    <s v="Smartphone"/>
    <n v="3"/>
    <n v="21000"/>
    <n v="63000"/>
    <s v="01"/>
  </r>
  <r>
    <n v="1164"/>
    <x v="3"/>
    <x v="3"/>
    <x v="3"/>
    <s v="Clothing"/>
    <s v="Jacket"/>
    <n v="4"/>
    <n v="3500"/>
    <n v="14000"/>
    <s v="01"/>
  </r>
  <r>
    <n v="1165"/>
    <x v="4"/>
    <x v="0"/>
    <x v="1"/>
    <s v="Furniture"/>
    <s v="Table"/>
    <n v="2"/>
    <n v="2600"/>
    <n v="5200"/>
    <s v="01"/>
  </r>
  <r>
    <n v="1166"/>
    <x v="5"/>
    <x v="1"/>
    <x v="4"/>
    <s v="Electronics"/>
    <s v="Headphones"/>
    <n v="6"/>
    <n v="58000"/>
    <n v="348000"/>
    <s v="01"/>
  </r>
  <r>
    <n v="1167"/>
    <x v="6"/>
    <x v="2"/>
    <x v="0"/>
    <s v="Clothing"/>
    <s v="Shoes"/>
    <n v="3"/>
    <n v="11000"/>
    <n v="33000"/>
    <s v="01"/>
  </r>
  <r>
    <n v="1168"/>
    <x v="7"/>
    <x v="3"/>
    <x v="5"/>
    <s v="Electronics"/>
    <s v="Laptop"/>
    <n v="1"/>
    <n v="2200"/>
    <n v="2200"/>
    <s v="01"/>
  </r>
  <r>
    <n v="1169"/>
    <x v="8"/>
    <x v="0"/>
    <x v="6"/>
    <s v="Furniture"/>
    <s v="Sofa"/>
    <n v="1"/>
    <n v="55000"/>
    <n v="55000"/>
    <s v="01"/>
  </r>
  <r>
    <n v="1170"/>
    <x v="9"/>
    <x v="1"/>
    <x v="2"/>
    <s v="Clothing"/>
    <s v="T-shirt"/>
    <n v="10"/>
    <n v="3500"/>
    <n v="35000"/>
    <s v="01"/>
  </r>
  <r>
    <n v="1171"/>
    <x v="10"/>
    <x v="2"/>
    <x v="7"/>
    <s v="Electronics"/>
    <s v="Smartphone"/>
    <n v="2"/>
    <n v="22000"/>
    <n v="44000"/>
    <s v="02"/>
  </r>
  <r>
    <n v="1172"/>
    <x v="11"/>
    <x v="3"/>
    <x v="1"/>
    <s v="Furniture"/>
    <s v="Chair"/>
    <n v="3"/>
    <n v="2500"/>
    <n v="7500"/>
    <s v="02"/>
  </r>
  <r>
    <n v="1173"/>
    <x v="12"/>
    <x v="0"/>
    <x v="8"/>
    <s v="Clothing"/>
    <s v="Jacket"/>
    <n v="2"/>
    <n v="12000"/>
    <n v="24000"/>
    <s v="02"/>
  </r>
  <r>
    <n v="1174"/>
    <x v="13"/>
    <x v="1"/>
    <x v="3"/>
    <s v="Electronics"/>
    <s v="Laptop"/>
    <n v="1"/>
    <n v="2000"/>
    <n v="2000"/>
    <s v="02"/>
  </r>
  <r>
    <n v="1175"/>
    <x v="14"/>
    <x v="2"/>
    <x v="9"/>
    <s v="Furniture"/>
    <s v="Table"/>
    <n v="1"/>
    <n v="3000"/>
    <n v="3000"/>
    <s v="02"/>
  </r>
  <r>
    <n v="1176"/>
    <x v="15"/>
    <x v="3"/>
    <x v="0"/>
    <s v="Electronics"/>
    <s v="Headphones"/>
    <n v="4"/>
    <n v="60000"/>
    <n v="240000"/>
    <s v="02"/>
  </r>
  <r>
    <n v="1177"/>
    <x v="16"/>
    <x v="0"/>
    <x v="4"/>
    <s v="Clothing"/>
    <s v="Shoes"/>
    <n v="2"/>
    <n v="45000"/>
    <n v="90000"/>
    <s v="02"/>
  </r>
  <r>
    <n v="1178"/>
    <x v="17"/>
    <x v="1"/>
    <x v="5"/>
    <s v="Furniture"/>
    <s v="Sofa"/>
    <n v="1"/>
    <n v="800"/>
    <n v="800"/>
    <s v="02"/>
  </r>
  <r>
    <n v="1179"/>
    <x v="18"/>
    <x v="2"/>
    <x v="6"/>
    <s v="Electronics"/>
    <s v="Laptop"/>
    <n v="1"/>
    <n v="21000"/>
    <n v="21000"/>
    <s v="02"/>
  </r>
  <r>
    <n v="1180"/>
    <x v="19"/>
    <x v="3"/>
    <x v="7"/>
    <s v="Clothing"/>
    <s v="T-shirt"/>
    <n v="5"/>
    <n v="3500"/>
    <n v="17500"/>
    <s v="02"/>
  </r>
  <r>
    <n v="1181"/>
    <x v="0"/>
    <x v="0"/>
    <x v="0"/>
    <s v="Electronics"/>
    <s v="Laptop"/>
    <n v="2"/>
    <n v="2600"/>
    <n v="5200"/>
    <s v="01"/>
  </r>
  <r>
    <n v="1182"/>
    <x v="1"/>
    <x v="1"/>
    <x v="1"/>
    <s v="Furniture"/>
    <s v="Chair"/>
    <n v="5"/>
    <n v="58000"/>
    <n v="290000"/>
    <s v="01"/>
  </r>
  <r>
    <n v="1183"/>
    <x v="2"/>
    <x v="2"/>
    <x v="2"/>
    <s v="Electronics"/>
    <s v="Smartphone"/>
    <n v="3"/>
    <n v="11000"/>
    <n v="33000"/>
    <s v="01"/>
  </r>
  <r>
    <n v="1184"/>
    <x v="3"/>
    <x v="3"/>
    <x v="3"/>
    <s v="Clothing"/>
    <s v="Jacket"/>
    <n v="4"/>
    <n v="2200"/>
    <n v="8800"/>
    <s v="01"/>
  </r>
  <r>
    <n v="1185"/>
    <x v="4"/>
    <x v="0"/>
    <x v="1"/>
    <s v="Furniture"/>
    <s v="Table"/>
    <n v="2"/>
    <n v="3200"/>
    <n v="6400"/>
    <s v="01"/>
  </r>
  <r>
    <n v="1186"/>
    <x v="5"/>
    <x v="1"/>
    <x v="4"/>
    <s v="Electronics"/>
    <s v="Headphones"/>
    <n v="6"/>
    <n v="47000"/>
    <n v="282000"/>
    <s v="01"/>
  </r>
  <r>
    <n v="1187"/>
    <x v="6"/>
    <x v="2"/>
    <x v="0"/>
    <s v="Clothing"/>
    <s v="Shoes"/>
    <n v="3"/>
    <n v="59000"/>
    <n v="177000"/>
    <s v="01"/>
  </r>
  <r>
    <n v="1188"/>
    <x v="7"/>
    <x v="3"/>
    <x v="5"/>
    <s v="Electronics"/>
    <s v="Laptop"/>
    <n v="1"/>
    <n v="850"/>
    <n v="850"/>
    <s v="01"/>
  </r>
  <r>
    <n v="1189"/>
    <x v="8"/>
    <x v="0"/>
    <x v="6"/>
    <s v="Furniture"/>
    <s v="Sofa"/>
    <n v="1"/>
    <n v="3500"/>
    <n v="3500"/>
    <s v="01"/>
  </r>
  <r>
    <n v="1190"/>
    <x v="9"/>
    <x v="1"/>
    <x v="2"/>
    <s v="Clothing"/>
    <s v="T-shirt"/>
    <n v="10"/>
    <n v="2600"/>
    <n v="26000"/>
    <s v="01"/>
  </r>
  <r>
    <n v="1191"/>
    <x v="10"/>
    <x v="2"/>
    <x v="7"/>
    <s v="Electronics"/>
    <s v="Smartphone"/>
    <n v="2"/>
    <n v="58000"/>
    <n v="116000"/>
    <s v="02"/>
  </r>
  <r>
    <n v="1192"/>
    <x v="11"/>
    <x v="3"/>
    <x v="1"/>
    <s v="Furniture"/>
    <s v="Chair"/>
    <n v="3"/>
    <n v="11000"/>
    <n v="33000"/>
    <s v="02"/>
  </r>
  <r>
    <n v="1193"/>
    <x v="12"/>
    <x v="0"/>
    <x v="8"/>
    <s v="Clothing"/>
    <s v="Jacket"/>
    <n v="2"/>
    <n v="2200"/>
    <n v="4400"/>
    <s v="02"/>
  </r>
  <r>
    <n v="1194"/>
    <x v="13"/>
    <x v="1"/>
    <x v="3"/>
    <s v="Electronics"/>
    <s v="Laptop"/>
    <n v="1"/>
    <n v="3200"/>
    <n v="3200"/>
    <s v="02"/>
  </r>
  <r>
    <n v="1195"/>
    <x v="14"/>
    <x v="2"/>
    <x v="9"/>
    <s v="Furniture"/>
    <s v="Table"/>
    <n v="1"/>
    <n v="47000"/>
    <n v="47000"/>
    <s v="02"/>
  </r>
  <r>
    <n v="1196"/>
    <x v="15"/>
    <x v="3"/>
    <x v="0"/>
    <s v="Electronics"/>
    <s v="Headphones"/>
    <n v="4"/>
    <n v="59000"/>
    <n v="236000"/>
    <s v="02"/>
  </r>
  <r>
    <n v="1197"/>
    <x v="16"/>
    <x v="0"/>
    <x v="4"/>
    <s v="Clothing"/>
    <s v="Shoes"/>
    <n v="2"/>
    <n v="850"/>
    <n v="1700"/>
    <s v="02"/>
  </r>
  <r>
    <n v="1198"/>
    <x v="17"/>
    <x v="1"/>
    <x v="5"/>
    <s v="Furniture"/>
    <s v="Sofa"/>
    <n v="1"/>
    <n v="2500"/>
    <n v="2500"/>
    <s v="02"/>
  </r>
  <r>
    <n v="1199"/>
    <x v="18"/>
    <x v="2"/>
    <x v="6"/>
    <s v="Electronics"/>
    <s v="Laptop"/>
    <n v="1"/>
    <n v="12000"/>
    <n v="12000"/>
    <s v="02"/>
  </r>
  <r>
    <n v="1200"/>
    <x v="19"/>
    <x v="3"/>
    <x v="7"/>
    <s v="Clothing"/>
    <s v="T-shirt"/>
    <n v="5"/>
    <n v="2000"/>
    <n v="10000"/>
    <s v="02"/>
  </r>
  <r>
    <n v="1201"/>
    <x v="0"/>
    <x v="0"/>
    <x v="0"/>
    <s v="Electronics"/>
    <s v="Laptop"/>
    <n v="2"/>
    <n v="3000"/>
    <n v="6000"/>
    <s v="01"/>
  </r>
  <r>
    <n v="1202"/>
    <x v="1"/>
    <x v="1"/>
    <x v="1"/>
    <s v="Furniture"/>
    <s v="Chair"/>
    <n v="5"/>
    <n v="60000"/>
    <n v="300000"/>
    <s v="01"/>
  </r>
  <r>
    <n v="1203"/>
    <x v="2"/>
    <x v="2"/>
    <x v="2"/>
    <s v="Electronics"/>
    <s v="Smartphone"/>
    <n v="3"/>
    <n v="45000"/>
    <n v="135000"/>
    <s v="01"/>
  </r>
  <r>
    <n v="1204"/>
    <x v="3"/>
    <x v="3"/>
    <x v="3"/>
    <s v="Clothing"/>
    <s v="Jacket"/>
    <n v="4"/>
    <n v="800"/>
    <n v="3200"/>
    <s v="01"/>
  </r>
  <r>
    <n v="1205"/>
    <x v="4"/>
    <x v="0"/>
    <x v="1"/>
    <s v="Furniture"/>
    <s v="Table"/>
    <n v="2"/>
    <n v="21000"/>
    <n v="42000"/>
    <s v="01"/>
  </r>
  <r>
    <n v="1206"/>
    <x v="5"/>
    <x v="1"/>
    <x v="4"/>
    <s v="Electronics"/>
    <s v="Headphones"/>
    <n v="6"/>
    <n v="3500"/>
    <n v="21000"/>
    <s v="01"/>
  </r>
  <r>
    <n v="1207"/>
    <x v="6"/>
    <x v="2"/>
    <x v="0"/>
    <s v="Clothing"/>
    <s v="Shoes"/>
    <n v="3"/>
    <n v="2600"/>
    <n v="7800"/>
    <s v="01"/>
  </r>
  <r>
    <n v="1208"/>
    <x v="7"/>
    <x v="3"/>
    <x v="5"/>
    <s v="Electronics"/>
    <s v="Laptop"/>
    <n v="1"/>
    <n v="58000"/>
    <n v="58000"/>
    <s v="01"/>
  </r>
  <r>
    <n v="1209"/>
    <x v="8"/>
    <x v="0"/>
    <x v="6"/>
    <s v="Furniture"/>
    <s v="Sofa"/>
    <n v="1"/>
    <n v="11000"/>
    <n v="11000"/>
    <s v="01"/>
  </r>
  <r>
    <n v="1210"/>
    <x v="9"/>
    <x v="1"/>
    <x v="2"/>
    <s v="Clothing"/>
    <s v="T-shirt"/>
    <n v="10"/>
    <n v="2200"/>
    <n v="22000"/>
    <s v="01"/>
  </r>
  <r>
    <n v="1211"/>
    <x v="10"/>
    <x v="2"/>
    <x v="7"/>
    <s v="Electronics"/>
    <s v="Smartphone"/>
    <n v="2"/>
    <n v="55000"/>
    <n v="110000"/>
    <s v="02"/>
  </r>
  <r>
    <n v="1212"/>
    <x v="11"/>
    <x v="3"/>
    <x v="1"/>
    <s v="Furniture"/>
    <s v="Chair"/>
    <n v="3"/>
    <n v="3500"/>
    <n v="10500"/>
    <s v="02"/>
  </r>
  <r>
    <n v="1213"/>
    <x v="12"/>
    <x v="0"/>
    <x v="8"/>
    <s v="Clothing"/>
    <s v="Jacket"/>
    <n v="2"/>
    <n v="22000"/>
    <n v="44000"/>
    <s v="02"/>
  </r>
  <r>
    <n v="1214"/>
    <x v="13"/>
    <x v="1"/>
    <x v="3"/>
    <s v="Electronics"/>
    <s v="Laptop"/>
    <n v="1"/>
    <n v="2500"/>
    <n v="2500"/>
    <s v="02"/>
  </r>
  <r>
    <n v="1215"/>
    <x v="14"/>
    <x v="2"/>
    <x v="9"/>
    <s v="Furniture"/>
    <s v="Table"/>
    <n v="1"/>
    <n v="12000"/>
    <n v="12000"/>
    <s v="02"/>
  </r>
  <r>
    <n v="1216"/>
    <x v="15"/>
    <x v="3"/>
    <x v="0"/>
    <s v="Electronics"/>
    <s v="Headphones"/>
    <n v="4"/>
    <n v="2000"/>
    <n v="8000"/>
    <s v="02"/>
  </r>
  <r>
    <n v="1217"/>
    <x v="16"/>
    <x v="0"/>
    <x v="4"/>
    <s v="Clothing"/>
    <s v="Shoes"/>
    <n v="2"/>
    <n v="3000"/>
    <n v="6000"/>
    <s v="02"/>
  </r>
  <r>
    <n v="1218"/>
    <x v="17"/>
    <x v="1"/>
    <x v="5"/>
    <s v="Furniture"/>
    <s v="Sofa"/>
    <n v="1"/>
    <n v="60000"/>
    <n v="60000"/>
    <s v="02"/>
  </r>
  <r>
    <n v="1219"/>
    <x v="18"/>
    <x v="2"/>
    <x v="6"/>
    <s v="Electronics"/>
    <s v="Laptop"/>
    <n v="1"/>
    <n v="45000"/>
    <n v="45000"/>
    <s v="02"/>
  </r>
  <r>
    <n v="1220"/>
    <x v="19"/>
    <x v="3"/>
    <x v="7"/>
    <s v="Clothing"/>
    <s v="T-shirt"/>
    <n v="5"/>
    <n v="800"/>
    <n v="4000"/>
    <s v="02"/>
  </r>
  <r>
    <n v="1221"/>
    <x v="0"/>
    <x v="0"/>
    <x v="0"/>
    <s v="Electronics"/>
    <s v="Laptop"/>
    <n v="2"/>
    <n v="21000"/>
    <n v="42000"/>
    <s v="01"/>
  </r>
  <r>
    <n v="1222"/>
    <x v="1"/>
    <x v="1"/>
    <x v="1"/>
    <s v="Furniture"/>
    <s v="Chair"/>
    <n v="5"/>
    <n v="3500"/>
    <n v="17500"/>
    <s v="01"/>
  </r>
  <r>
    <n v="1223"/>
    <x v="2"/>
    <x v="2"/>
    <x v="2"/>
    <s v="Electronics"/>
    <s v="Smartphone"/>
    <n v="3"/>
    <n v="2600"/>
    <n v="7800"/>
    <s v="01"/>
  </r>
  <r>
    <n v="1224"/>
    <x v="3"/>
    <x v="3"/>
    <x v="3"/>
    <s v="Clothing"/>
    <s v="Jacket"/>
    <n v="4"/>
    <n v="58000"/>
    <n v="232000"/>
    <s v="01"/>
  </r>
  <r>
    <n v="1225"/>
    <x v="4"/>
    <x v="0"/>
    <x v="1"/>
    <s v="Furniture"/>
    <s v="Table"/>
    <n v="2"/>
    <n v="11000"/>
    <n v="22000"/>
    <s v="01"/>
  </r>
  <r>
    <n v="1226"/>
    <x v="5"/>
    <x v="1"/>
    <x v="4"/>
    <s v="Electronics"/>
    <s v="Headphones"/>
    <n v="6"/>
    <n v="2200"/>
    <n v="13200"/>
    <s v="01"/>
  </r>
  <r>
    <n v="1227"/>
    <x v="6"/>
    <x v="2"/>
    <x v="0"/>
    <s v="Clothing"/>
    <s v="Shoes"/>
    <n v="3"/>
    <n v="3200"/>
    <n v="9600"/>
    <s v="01"/>
  </r>
  <r>
    <n v="1228"/>
    <x v="7"/>
    <x v="3"/>
    <x v="5"/>
    <s v="Electronics"/>
    <s v="Laptop"/>
    <n v="1"/>
    <n v="47000"/>
    <n v="47000"/>
    <s v="01"/>
  </r>
  <r>
    <n v="1229"/>
    <x v="8"/>
    <x v="0"/>
    <x v="6"/>
    <s v="Furniture"/>
    <s v="Sofa"/>
    <n v="1"/>
    <n v="59000"/>
    <n v="59000"/>
    <s v="01"/>
  </r>
  <r>
    <n v="1230"/>
    <x v="9"/>
    <x v="1"/>
    <x v="2"/>
    <s v="Clothing"/>
    <s v="T-shirt"/>
    <n v="10"/>
    <n v="850"/>
    <n v="8500"/>
    <s v="01"/>
  </r>
  <r>
    <n v="1231"/>
    <x v="10"/>
    <x v="2"/>
    <x v="7"/>
    <s v="Electronics"/>
    <s v="Smartphone"/>
    <n v="2"/>
    <n v="3500"/>
    <n v="7000"/>
    <s v="02"/>
  </r>
  <r>
    <n v="1232"/>
    <x v="11"/>
    <x v="3"/>
    <x v="1"/>
    <s v="Furniture"/>
    <s v="Chair"/>
    <n v="3"/>
    <n v="2600"/>
    <n v="7800"/>
    <s v="02"/>
  </r>
  <r>
    <n v="1233"/>
    <x v="12"/>
    <x v="0"/>
    <x v="8"/>
    <s v="Clothing"/>
    <s v="Jacket"/>
    <n v="2"/>
    <n v="58000"/>
    <n v="116000"/>
    <s v="02"/>
  </r>
  <r>
    <n v="1234"/>
    <x v="13"/>
    <x v="1"/>
    <x v="3"/>
    <s v="Electronics"/>
    <s v="Laptop"/>
    <n v="1"/>
    <n v="11000"/>
    <n v="11000"/>
    <s v="02"/>
  </r>
  <r>
    <n v="1235"/>
    <x v="14"/>
    <x v="2"/>
    <x v="9"/>
    <s v="Furniture"/>
    <s v="Table"/>
    <n v="1"/>
    <n v="2200"/>
    <n v="2200"/>
    <s v="02"/>
  </r>
  <r>
    <n v="1236"/>
    <x v="15"/>
    <x v="3"/>
    <x v="0"/>
    <s v="Electronics"/>
    <s v="Headphones"/>
    <n v="4"/>
    <n v="3200"/>
    <n v="12800"/>
    <s v="02"/>
  </r>
  <r>
    <n v="1237"/>
    <x v="16"/>
    <x v="0"/>
    <x v="4"/>
    <s v="Clothing"/>
    <s v="Shoes"/>
    <n v="2"/>
    <n v="47000"/>
    <n v="94000"/>
    <s v="02"/>
  </r>
  <r>
    <n v="1238"/>
    <x v="17"/>
    <x v="1"/>
    <x v="5"/>
    <s v="Furniture"/>
    <s v="Sofa"/>
    <n v="1"/>
    <n v="59000"/>
    <n v="59000"/>
    <s v="02"/>
  </r>
  <r>
    <n v="1239"/>
    <x v="18"/>
    <x v="2"/>
    <x v="6"/>
    <s v="Electronics"/>
    <s v="Laptop"/>
    <n v="1"/>
    <n v="850"/>
    <n v="850"/>
    <s v="02"/>
  </r>
  <r>
    <n v="1240"/>
    <x v="19"/>
    <x v="3"/>
    <x v="7"/>
    <s v="Clothing"/>
    <s v="T-shirt"/>
    <n v="5"/>
    <n v="2500"/>
    <n v="12500"/>
    <s v="02"/>
  </r>
  <r>
    <n v="1241"/>
    <x v="0"/>
    <x v="0"/>
    <x v="0"/>
    <s v="Electronics"/>
    <s v="Laptop"/>
    <n v="2"/>
    <n v="12000"/>
    <n v="24000"/>
    <s v="01"/>
  </r>
  <r>
    <n v="1242"/>
    <x v="1"/>
    <x v="1"/>
    <x v="1"/>
    <s v="Furniture"/>
    <s v="Chair"/>
    <n v="5"/>
    <n v="2000"/>
    <n v="10000"/>
    <s v="01"/>
  </r>
  <r>
    <n v="1243"/>
    <x v="2"/>
    <x v="2"/>
    <x v="2"/>
    <s v="Electronics"/>
    <s v="Smartphone"/>
    <n v="3"/>
    <n v="3000"/>
    <n v="9000"/>
    <s v="01"/>
  </r>
  <r>
    <n v="1244"/>
    <x v="3"/>
    <x v="3"/>
    <x v="3"/>
    <s v="Clothing"/>
    <s v="Jacket"/>
    <n v="4"/>
    <n v="60000"/>
    <n v="240000"/>
    <s v="01"/>
  </r>
  <r>
    <n v="1245"/>
    <x v="4"/>
    <x v="0"/>
    <x v="1"/>
    <s v="Furniture"/>
    <s v="Table"/>
    <n v="2"/>
    <n v="45000"/>
    <n v="90000"/>
    <s v="01"/>
  </r>
  <r>
    <n v="1246"/>
    <x v="5"/>
    <x v="1"/>
    <x v="4"/>
    <s v="Electronics"/>
    <s v="Headphones"/>
    <n v="6"/>
    <n v="800"/>
    <n v="4800"/>
    <s v="01"/>
  </r>
  <r>
    <n v="1247"/>
    <x v="6"/>
    <x v="2"/>
    <x v="0"/>
    <s v="Clothing"/>
    <s v="Shoes"/>
    <n v="3"/>
    <n v="21000"/>
    <n v="63000"/>
    <s v="01"/>
  </r>
  <r>
    <n v="1248"/>
    <x v="7"/>
    <x v="3"/>
    <x v="5"/>
    <s v="Electronics"/>
    <s v="Laptop"/>
    <n v="1"/>
    <n v="3500"/>
    <n v="3500"/>
    <s v="01"/>
  </r>
  <r>
    <n v="1249"/>
    <x v="8"/>
    <x v="0"/>
    <x v="6"/>
    <s v="Furniture"/>
    <s v="Sofa"/>
    <n v="1"/>
    <n v="2600"/>
    <n v="2600"/>
    <s v="01"/>
  </r>
  <r>
    <n v="1250"/>
    <x v="9"/>
    <x v="1"/>
    <x v="2"/>
    <s v="Clothing"/>
    <s v="T-shirt"/>
    <n v="10"/>
    <n v="58000"/>
    <n v="580000"/>
    <s v="01"/>
  </r>
  <r>
    <n v="1251"/>
    <x v="10"/>
    <x v="2"/>
    <x v="7"/>
    <s v="Electronics"/>
    <s v="Smartphone"/>
    <n v="2"/>
    <n v="11000"/>
    <n v="22000"/>
    <s v="02"/>
  </r>
  <r>
    <n v="1252"/>
    <x v="11"/>
    <x v="3"/>
    <x v="1"/>
    <s v="Furniture"/>
    <s v="Chair"/>
    <n v="3"/>
    <n v="2200"/>
    <n v="6600"/>
    <s v="02"/>
  </r>
  <r>
    <n v="1253"/>
    <x v="12"/>
    <x v="0"/>
    <x v="8"/>
    <s v="Clothing"/>
    <s v="Jacket"/>
    <n v="2"/>
    <n v="55000"/>
    <n v="110000"/>
    <s v="02"/>
  </r>
  <r>
    <n v="1254"/>
    <x v="13"/>
    <x v="1"/>
    <x v="3"/>
    <s v="Electronics"/>
    <s v="Laptop"/>
    <n v="1"/>
    <n v="3500"/>
    <n v="3500"/>
    <s v="02"/>
  </r>
  <r>
    <n v="1255"/>
    <x v="14"/>
    <x v="2"/>
    <x v="9"/>
    <s v="Furniture"/>
    <s v="Table"/>
    <n v="1"/>
    <n v="22000"/>
    <n v="22000"/>
    <s v="02"/>
  </r>
  <r>
    <n v="1256"/>
    <x v="15"/>
    <x v="3"/>
    <x v="0"/>
    <s v="Electronics"/>
    <s v="Headphones"/>
    <n v="4"/>
    <n v="2500"/>
    <n v="10000"/>
    <s v="02"/>
  </r>
  <r>
    <n v="1257"/>
    <x v="16"/>
    <x v="0"/>
    <x v="4"/>
    <s v="Clothing"/>
    <s v="Shoes"/>
    <n v="2"/>
    <n v="12000"/>
    <n v="24000"/>
    <s v="02"/>
  </r>
  <r>
    <n v="1258"/>
    <x v="17"/>
    <x v="1"/>
    <x v="5"/>
    <s v="Furniture"/>
    <s v="Sofa"/>
    <n v="1"/>
    <n v="2000"/>
    <n v="2000"/>
    <s v="02"/>
  </r>
  <r>
    <n v="1259"/>
    <x v="18"/>
    <x v="2"/>
    <x v="6"/>
    <s v="Electronics"/>
    <s v="Laptop"/>
    <n v="1"/>
    <n v="3000"/>
    <n v="3000"/>
    <s v="02"/>
  </r>
  <r>
    <n v="1260"/>
    <x v="19"/>
    <x v="3"/>
    <x v="7"/>
    <s v="Clothing"/>
    <s v="T-shirt"/>
    <n v="5"/>
    <n v="60000"/>
    <n v="300000"/>
    <s v="02"/>
  </r>
  <r>
    <n v="1261"/>
    <x v="0"/>
    <x v="0"/>
    <x v="0"/>
    <s v="Electronics"/>
    <s v="Laptop"/>
    <n v="2"/>
    <n v="45000"/>
    <n v="90000"/>
    <s v="01"/>
  </r>
  <r>
    <n v="1262"/>
    <x v="1"/>
    <x v="1"/>
    <x v="1"/>
    <s v="Furniture"/>
    <s v="Chair"/>
    <n v="5"/>
    <n v="800"/>
    <n v="4000"/>
    <s v="01"/>
  </r>
  <r>
    <n v="1263"/>
    <x v="2"/>
    <x v="2"/>
    <x v="2"/>
    <s v="Electronics"/>
    <s v="Smartphone"/>
    <n v="3"/>
    <n v="21000"/>
    <n v="63000"/>
    <s v="01"/>
  </r>
  <r>
    <n v="1264"/>
    <x v="3"/>
    <x v="3"/>
    <x v="3"/>
    <s v="Clothing"/>
    <s v="Jacket"/>
    <n v="4"/>
    <n v="3500"/>
    <n v="14000"/>
    <s v="01"/>
  </r>
  <r>
    <n v="1265"/>
    <x v="4"/>
    <x v="0"/>
    <x v="1"/>
    <s v="Furniture"/>
    <s v="Table"/>
    <n v="2"/>
    <n v="2600"/>
    <n v="5200"/>
    <s v="01"/>
  </r>
  <r>
    <n v="1266"/>
    <x v="5"/>
    <x v="1"/>
    <x v="4"/>
    <s v="Electronics"/>
    <s v="Headphones"/>
    <n v="6"/>
    <n v="58000"/>
    <n v="348000"/>
    <s v="01"/>
  </r>
  <r>
    <n v="1267"/>
    <x v="6"/>
    <x v="2"/>
    <x v="0"/>
    <s v="Clothing"/>
    <s v="Shoes"/>
    <n v="3"/>
    <n v="11000"/>
    <n v="33000"/>
    <s v="01"/>
  </r>
  <r>
    <n v="1268"/>
    <x v="7"/>
    <x v="3"/>
    <x v="5"/>
    <s v="Electronics"/>
    <s v="Laptop"/>
    <n v="1"/>
    <n v="2200"/>
    <n v="2200"/>
    <s v="01"/>
  </r>
  <r>
    <n v="1269"/>
    <x v="8"/>
    <x v="0"/>
    <x v="6"/>
    <s v="Furniture"/>
    <s v="Sofa"/>
    <n v="1"/>
    <n v="3200"/>
    <n v="3200"/>
    <s v="01"/>
  </r>
  <r>
    <n v="1270"/>
    <x v="9"/>
    <x v="1"/>
    <x v="2"/>
    <s v="Clothing"/>
    <s v="T-shirt"/>
    <n v="10"/>
    <n v="47000"/>
    <n v="470000"/>
    <s v="01"/>
  </r>
  <r>
    <n v="1271"/>
    <x v="10"/>
    <x v="2"/>
    <x v="7"/>
    <s v="Electronics"/>
    <s v="Smartphone"/>
    <n v="2"/>
    <n v="59000"/>
    <n v="118000"/>
    <s v="02"/>
  </r>
  <r>
    <n v="1272"/>
    <x v="11"/>
    <x v="3"/>
    <x v="1"/>
    <s v="Furniture"/>
    <s v="Chair"/>
    <n v="3"/>
    <n v="850"/>
    <n v="2550"/>
    <s v="02"/>
  </r>
  <r>
    <n v="1273"/>
    <x v="12"/>
    <x v="0"/>
    <x v="8"/>
    <s v="Clothing"/>
    <s v="Jacket"/>
    <n v="2"/>
    <n v="3500"/>
    <n v="7000"/>
    <s v="02"/>
  </r>
  <r>
    <n v="1274"/>
    <x v="13"/>
    <x v="1"/>
    <x v="3"/>
    <s v="Electronics"/>
    <s v="Laptop"/>
    <n v="1"/>
    <n v="2600"/>
    <n v="2600"/>
    <s v="02"/>
  </r>
  <r>
    <n v="1275"/>
    <x v="14"/>
    <x v="2"/>
    <x v="9"/>
    <s v="Furniture"/>
    <s v="Table"/>
    <n v="1"/>
    <n v="58000"/>
    <n v="58000"/>
    <s v="02"/>
  </r>
  <r>
    <n v="1276"/>
    <x v="15"/>
    <x v="3"/>
    <x v="0"/>
    <s v="Electronics"/>
    <s v="Headphones"/>
    <n v="4"/>
    <n v="11000"/>
    <n v="44000"/>
    <s v="02"/>
  </r>
  <r>
    <n v="1277"/>
    <x v="16"/>
    <x v="0"/>
    <x v="4"/>
    <s v="Clothing"/>
    <s v="Shoes"/>
    <n v="2"/>
    <n v="2200"/>
    <n v="4400"/>
    <s v="02"/>
  </r>
  <r>
    <n v="1278"/>
    <x v="17"/>
    <x v="1"/>
    <x v="5"/>
    <s v="Furniture"/>
    <s v="Sofa"/>
    <n v="1"/>
    <n v="3200"/>
    <n v="3200"/>
    <s v="02"/>
  </r>
  <r>
    <n v="1279"/>
    <x v="18"/>
    <x v="2"/>
    <x v="6"/>
    <s v="Electronics"/>
    <s v="Laptop"/>
    <n v="1"/>
    <n v="47000"/>
    <n v="47000"/>
    <s v="02"/>
  </r>
  <r>
    <n v="1280"/>
    <x v="19"/>
    <x v="3"/>
    <x v="7"/>
    <s v="Clothing"/>
    <s v="T-shirt"/>
    <n v="5"/>
    <n v="59000"/>
    <n v="295000"/>
    <s v="02"/>
  </r>
  <r>
    <n v="1281"/>
    <x v="0"/>
    <x v="0"/>
    <x v="0"/>
    <s v="Electronics"/>
    <s v="Laptop"/>
    <n v="2"/>
    <n v="850"/>
    <n v="1700"/>
    <s v="01"/>
  </r>
  <r>
    <n v="1282"/>
    <x v="1"/>
    <x v="1"/>
    <x v="1"/>
    <s v="Furniture"/>
    <s v="Chair"/>
    <n v="5"/>
    <n v="2500"/>
    <n v="12500"/>
    <s v="01"/>
  </r>
  <r>
    <n v="1283"/>
    <x v="2"/>
    <x v="2"/>
    <x v="2"/>
    <s v="Electronics"/>
    <s v="Smartphone"/>
    <n v="3"/>
    <n v="12000"/>
    <n v="36000"/>
    <s v="01"/>
  </r>
  <r>
    <n v="1284"/>
    <x v="3"/>
    <x v="3"/>
    <x v="3"/>
    <s v="Clothing"/>
    <s v="Jacket"/>
    <n v="4"/>
    <n v="2000"/>
    <n v="8000"/>
    <s v="01"/>
  </r>
  <r>
    <n v="1285"/>
    <x v="4"/>
    <x v="0"/>
    <x v="1"/>
    <s v="Furniture"/>
    <s v="Table"/>
    <n v="2"/>
    <n v="3000"/>
    <n v="6000"/>
    <s v="01"/>
  </r>
  <r>
    <n v="1286"/>
    <x v="5"/>
    <x v="1"/>
    <x v="4"/>
    <s v="Electronics"/>
    <s v="Headphones"/>
    <n v="6"/>
    <n v="60000"/>
    <n v="360000"/>
    <s v="01"/>
  </r>
  <r>
    <n v="1287"/>
    <x v="6"/>
    <x v="2"/>
    <x v="0"/>
    <s v="Clothing"/>
    <s v="Shoes"/>
    <n v="3"/>
    <n v="45000"/>
    <n v="135000"/>
    <s v="01"/>
  </r>
  <r>
    <n v="1288"/>
    <x v="7"/>
    <x v="3"/>
    <x v="5"/>
    <s v="Electronics"/>
    <s v="Laptop"/>
    <n v="1"/>
    <n v="800"/>
    <n v="800"/>
    <s v="01"/>
  </r>
  <r>
    <n v="1289"/>
    <x v="8"/>
    <x v="0"/>
    <x v="6"/>
    <s v="Furniture"/>
    <s v="Sofa"/>
    <n v="1"/>
    <n v="21000"/>
    <n v="21000"/>
    <s v="01"/>
  </r>
  <r>
    <n v="1290"/>
    <x v="9"/>
    <x v="1"/>
    <x v="2"/>
    <s v="Clothing"/>
    <s v="T-shirt"/>
    <n v="10"/>
    <n v="3500"/>
    <n v="35000"/>
    <s v="01"/>
  </r>
  <r>
    <n v="1291"/>
    <x v="10"/>
    <x v="2"/>
    <x v="7"/>
    <s v="Electronics"/>
    <s v="Smartphone"/>
    <n v="2"/>
    <n v="2600"/>
    <n v="5200"/>
    <s v="02"/>
  </r>
  <r>
    <n v="1292"/>
    <x v="11"/>
    <x v="3"/>
    <x v="1"/>
    <s v="Furniture"/>
    <s v="Chair"/>
    <n v="3"/>
    <n v="58000"/>
    <n v="174000"/>
    <s v="02"/>
  </r>
  <r>
    <n v="1293"/>
    <x v="12"/>
    <x v="0"/>
    <x v="8"/>
    <s v="Clothing"/>
    <s v="Jacket"/>
    <n v="2"/>
    <n v="11000"/>
    <n v="22000"/>
    <s v="02"/>
  </r>
  <r>
    <n v="1294"/>
    <x v="13"/>
    <x v="1"/>
    <x v="3"/>
    <s v="Electronics"/>
    <s v="Laptop"/>
    <n v="1"/>
    <n v="2200"/>
    <n v="2200"/>
    <s v="02"/>
  </r>
  <r>
    <n v="1295"/>
    <x v="14"/>
    <x v="2"/>
    <x v="9"/>
    <s v="Furniture"/>
    <s v="Table"/>
    <n v="1"/>
    <n v="55000"/>
    <n v="55000"/>
    <s v="02"/>
  </r>
  <r>
    <n v="1296"/>
    <x v="15"/>
    <x v="3"/>
    <x v="0"/>
    <s v="Electronics"/>
    <s v="Headphones"/>
    <n v="4"/>
    <n v="3500"/>
    <n v="14000"/>
    <s v="02"/>
  </r>
  <r>
    <n v="1297"/>
    <x v="16"/>
    <x v="0"/>
    <x v="4"/>
    <s v="Clothing"/>
    <s v="Shoes"/>
    <n v="2"/>
    <n v="22000"/>
    <n v="44000"/>
    <s v="02"/>
  </r>
  <r>
    <n v="1298"/>
    <x v="17"/>
    <x v="1"/>
    <x v="5"/>
    <s v="Furniture"/>
    <s v="Sofa"/>
    <n v="1"/>
    <n v="2500"/>
    <n v="2500"/>
    <s v="02"/>
  </r>
  <r>
    <n v="1299"/>
    <x v="18"/>
    <x v="2"/>
    <x v="6"/>
    <s v="Electronics"/>
    <s v="Laptop"/>
    <n v="1"/>
    <n v="12000"/>
    <n v="12000"/>
    <s v="02"/>
  </r>
  <r>
    <n v="1300"/>
    <x v="19"/>
    <x v="3"/>
    <x v="7"/>
    <s v="Clothing"/>
    <s v="T-shirt"/>
    <n v="5"/>
    <n v="2000"/>
    <n v="10000"/>
    <s v="02"/>
  </r>
  <r>
    <n v="1301"/>
    <x v="0"/>
    <x v="0"/>
    <x v="0"/>
    <s v="Electronics"/>
    <s v="Laptop"/>
    <n v="2"/>
    <n v="3000"/>
    <n v="6000"/>
    <s v="01"/>
  </r>
  <r>
    <n v="1302"/>
    <x v="1"/>
    <x v="1"/>
    <x v="1"/>
    <s v="Furniture"/>
    <s v="Chair"/>
    <n v="5"/>
    <n v="60000"/>
    <n v="300000"/>
    <s v="01"/>
  </r>
  <r>
    <n v="1303"/>
    <x v="2"/>
    <x v="2"/>
    <x v="2"/>
    <s v="Electronics"/>
    <s v="Smartphone"/>
    <n v="3"/>
    <n v="45000"/>
    <n v="135000"/>
    <s v="01"/>
  </r>
  <r>
    <n v="1304"/>
    <x v="3"/>
    <x v="3"/>
    <x v="3"/>
    <s v="Clothing"/>
    <s v="Jacket"/>
    <n v="4"/>
    <n v="800"/>
    <n v="3200"/>
    <s v="01"/>
  </r>
  <r>
    <n v="1305"/>
    <x v="4"/>
    <x v="0"/>
    <x v="1"/>
    <s v="Furniture"/>
    <s v="Table"/>
    <n v="2"/>
    <n v="21000"/>
    <n v="42000"/>
    <s v="01"/>
  </r>
  <r>
    <n v="1306"/>
    <x v="5"/>
    <x v="1"/>
    <x v="4"/>
    <s v="Electronics"/>
    <s v="Headphones"/>
    <n v="6"/>
    <n v="3500"/>
    <n v="21000"/>
    <s v="01"/>
  </r>
  <r>
    <n v="1307"/>
    <x v="6"/>
    <x v="2"/>
    <x v="0"/>
    <s v="Clothing"/>
    <s v="Shoes"/>
    <n v="3"/>
    <n v="2600"/>
    <n v="7800"/>
    <s v="01"/>
  </r>
  <r>
    <n v="1308"/>
    <x v="7"/>
    <x v="3"/>
    <x v="5"/>
    <s v="Electronics"/>
    <s v="Laptop"/>
    <n v="1"/>
    <n v="58000"/>
    <n v="58000"/>
    <s v="01"/>
  </r>
  <r>
    <n v="1309"/>
    <x v="8"/>
    <x v="0"/>
    <x v="6"/>
    <s v="Furniture"/>
    <s v="Sofa"/>
    <n v="1"/>
    <n v="11000"/>
    <n v="11000"/>
    <s v="01"/>
  </r>
  <r>
    <n v="1310"/>
    <x v="9"/>
    <x v="1"/>
    <x v="2"/>
    <s v="Clothing"/>
    <s v="T-shirt"/>
    <n v="10"/>
    <n v="2200"/>
    <n v="22000"/>
    <s v="01"/>
  </r>
  <r>
    <n v="1311"/>
    <x v="10"/>
    <x v="2"/>
    <x v="7"/>
    <s v="Electronics"/>
    <s v="Smartphone"/>
    <n v="2"/>
    <n v="3200"/>
    <n v="6400"/>
    <s v="02"/>
  </r>
  <r>
    <n v="1312"/>
    <x v="11"/>
    <x v="3"/>
    <x v="1"/>
    <s v="Furniture"/>
    <s v="Chair"/>
    <n v="3"/>
    <n v="47000"/>
    <n v="141000"/>
    <s v="02"/>
  </r>
  <r>
    <n v="1313"/>
    <x v="12"/>
    <x v="0"/>
    <x v="8"/>
    <s v="Clothing"/>
    <s v="Jacket"/>
    <n v="2"/>
    <n v="59000"/>
    <n v="118000"/>
    <s v="02"/>
  </r>
  <r>
    <n v="1314"/>
    <x v="13"/>
    <x v="1"/>
    <x v="3"/>
    <s v="Electronics"/>
    <s v="Laptop"/>
    <n v="1"/>
    <n v="850"/>
    <n v="850"/>
    <s v="02"/>
  </r>
  <r>
    <n v="1315"/>
    <x v="14"/>
    <x v="2"/>
    <x v="9"/>
    <s v="Furniture"/>
    <s v="Table"/>
    <n v="1"/>
    <n v="3500"/>
    <n v="3500"/>
    <s v="02"/>
  </r>
  <r>
    <n v="1316"/>
    <x v="15"/>
    <x v="3"/>
    <x v="0"/>
    <s v="Electronics"/>
    <s v="Headphones"/>
    <n v="4"/>
    <n v="2600"/>
    <n v="10400"/>
    <s v="02"/>
  </r>
  <r>
    <n v="1317"/>
    <x v="16"/>
    <x v="0"/>
    <x v="4"/>
    <s v="Clothing"/>
    <s v="Shoes"/>
    <n v="2"/>
    <n v="58000"/>
    <n v="116000"/>
    <s v="02"/>
  </r>
  <r>
    <n v="1318"/>
    <x v="17"/>
    <x v="1"/>
    <x v="5"/>
    <s v="Furniture"/>
    <s v="Sofa"/>
    <n v="1"/>
    <n v="11000"/>
    <n v="11000"/>
    <s v="02"/>
  </r>
  <r>
    <n v="1319"/>
    <x v="18"/>
    <x v="2"/>
    <x v="6"/>
    <s v="Electronics"/>
    <s v="Laptop"/>
    <n v="1"/>
    <n v="2200"/>
    <n v="2200"/>
    <s v="02"/>
  </r>
  <r>
    <n v="1320"/>
    <x v="19"/>
    <x v="3"/>
    <x v="7"/>
    <s v="Clothing"/>
    <s v="T-shirt"/>
    <n v="5"/>
    <n v="3200"/>
    <n v="16000"/>
    <s v="02"/>
  </r>
  <r>
    <n v="1321"/>
    <x v="0"/>
    <x v="0"/>
    <x v="0"/>
    <s v="Electronics"/>
    <s v="Laptop"/>
    <n v="2"/>
    <n v="47000"/>
    <n v="94000"/>
    <s v="01"/>
  </r>
  <r>
    <n v="1322"/>
    <x v="1"/>
    <x v="1"/>
    <x v="1"/>
    <s v="Furniture"/>
    <s v="Chair"/>
    <n v="5"/>
    <n v="59000"/>
    <n v="295000"/>
    <s v="01"/>
  </r>
  <r>
    <n v="1323"/>
    <x v="2"/>
    <x v="2"/>
    <x v="2"/>
    <s v="Electronics"/>
    <s v="Smartphone"/>
    <n v="3"/>
    <n v="850"/>
    <n v="2550"/>
    <s v="01"/>
  </r>
  <r>
    <n v="1324"/>
    <x v="3"/>
    <x v="3"/>
    <x v="3"/>
    <s v="Clothing"/>
    <s v="Jacket"/>
    <n v="4"/>
    <n v="2500"/>
    <n v="10000"/>
    <s v="01"/>
  </r>
  <r>
    <n v="1325"/>
    <x v="4"/>
    <x v="0"/>
    <x v="1"/>
    <s v="Furniture"/>
    <s v="Table"/>
    <n v="2"/>
    <n v="12000"/>
    <n v="24000"/>
    <s v="01"/>
  </r>
  <r>
    <n v="1326"/>
    <x v="5"/>
    <x v="1"/>
    <x v="4"/>
    <s v="Electronics"/>
    <s v="Headphones"/>
    <n v="6"/>
    <n v="2000"/>
    <n v="12000"/>
    <s v="01"/>
  </r>
  <r>
    <n v="1327"/>
    <x v="6"/>
    <x v="2"/>
    <x v="0"/>
    <s v="Clothing"/>
    <s v="Shoes"/>
    <n v="3"/>
    <n v="3000"/>
    <n v="9000"/>
    <s v="01"/>
  </r>
  <r>
    <n v="1328"/>
    <x v="7"/>
    <x v="3"/>
    <x v="5"/>
    <s v="Electronics"/>
    <s v="Laptop"/>
    <n v="1"/>
    <n v="60000"/>
    <n v="60000"/>
    <s v="01"/>
  </r>
  <r>
    <n v="1329"/>
    <x v="8"/>
    <x v="0"/>
    <x v="6"/>
    <s v="Furniture"/>
    <s v="Sofa"/>
    <n v="1"/>
    <n v="45000"/>
    <n v="45000"/>
    <s v="01"/>
  </r>
  <r>
    <n v="1330"/>
    <x v="9"/>
    <x v="1"/>
    <x v="2"/>
    <s v="Clothing"/>
    <s v="T-shirt"/>
    <n v="10"/>
    <n v="800"/>
    <n v="8000"/>
    <s v="01"/>
  </r>
  <r>
    <n v="1331"/>
    <x v="10"/>
    <x v="2"/>
    <x v="7"/>
    <s v="Electronics"/>
    <s v="Smartphone"/>
    <n v="2"/>
    <n v="21000"/>
    <n v="42000"/>
    <s v="02"/>
  </r>
  <r>
    <n v="1332"/>
    <x v="11"/>
    <x v="3"/>
    <x v="1"/>
    <s v="Furniture"/>
    <s v="Chair"/>
    <n v="3"/>
    <n v="3500"/>
    <n v="10500"/>
    <s v="02"/>
  </r>
  <r>
    <n v="1333"/>
    <x v="12"/>
    <x v="0"/>
    <x v="8"/>
    <s v="Clothing"/>
    <s v="Jacket"/>
    <n v="2"/>
    <n v="2600"/>
    <n v="5200"/>
    <s v="02"/>
  </r>
  <r>
    <n v="1334"/>
    <x v="13"/>
    <x v="1"/>
    <x v="3"/>
    <s v="Electronics"/>
    <s v="Laptop"/>
    <n v="1"/>
    <n v="58000"/>
    <n v="58000"/>
    <s v="02"/>
  </r>
  <r>
    <n v="1335"/>
    <x v="14"/>
    <x v="2"/>
    <x v="9"/>
    <s v="Furniture"/>
    <s v="Table"/>
    <n v="1"/>
    <n v="11000"/>
    <n v="11000"/>
    <s v="02"/>
  </r>
  <r>
    <n v="1336"/>
    <x v="15"/>
    <x v="3"/>
    <x v="0"/>
    <s v="Electronics"/>
    <s v="Headphones"/>
    <n v="4"/>
    <n v="2200"/>
    <n v="8800"/>
    <s v="02"/>
  </r>
  <r>
    <n v="1337"/>
    <x v="16"/>
    <x v="0"/>
    <x v="4"/>
    <s v="Clothing"/>
    <s v="Shoes"/>
    <n v="2"/>
    <n v="55000"/>
    <n v="110000"/>
    <s v="02"/>
  </r>
  <r>
    <n v="1338"/>
    <x v="17"/>
    <x v="1"/>
    <x v="5"/>
    <s v="Furniture"/>
    <s v="Sofa"/>
    <n v="1"/>
    <n v="3500"/>
    <n v="3500"/>
    <s v="02"/>
  </r>
  <r>
    <n v="1339"/>
    <x v="18"/>
    <x v="2"/>
    <x v="6"/>
    <s v="Electronics"/>
    <s v="Laptop"/>
    <n v="1"/>
    <n v="22000"/>
    <n v="22000"/>
    <s v="02"/>
  </r>
  <r>
    <n v="1340"/>
    <x v="19"/>
    <x v="3"/>
    <x v="7"/>
    <s v="Clothing"/>
    <s v="T-shirt"/>
    <n v="5"/>
    <n v="2500"/>
    <n v="12500"/>
    <s v="02"/>
  </r>
  <r>
    <n v="1341"/>
    <x v="0"/>
    <x v="0"/>
    <x v="0"/>
    <s v="Electronics"/>
    <s v="Laptop"/>
    <n v="2"/>
    <n v="12000"/>
    <n v="24000"/>
    <s v="01"/>
  </r>
  <r>
    <n v="1342"/>
    <x v="1"/>
    <x v="1"/>
    <x v="1"/>
    <s v="Furniture"/>
    <s v="Chair"/>
    <n v="5"/>
    <n v="2000"/>
    <n v="10000"/>
    <s v="01"/>
  </r>
  <r>
    <n v="1343"/>
    <x v="2"/>
    <x v="2"/>
    <x v="2"/>
    <s v="Electronics"/>
    <s v="Smartphone"/>
    <n v="3"/>
    <n v="3000"/>
    <n v="9000"/>
    <s v="01"/>
  </r>
  <r>
    <n v="1344"/>
    <x v="3"/>
    <x v="3"/>
    <x v="3"/>
    <s v="Clothing"/>
    <s v="Jacket"/>
    <n v="4"/>
    <n v="60000"/>
    <n v="240000"/>
    <s v="01"/>
  </r>
  <r>
    <n v="1345"/>
    <x v="4"/>
    <x v="0"/>
    <x v="1"/>
    <s v="Furniture"/>
    <s v="Table"/>
    <n v="2"/>
    <n v="45000"/>
    <n v="90000"/>
    <s v="01"/>
  </r>
  <r>
    <n v="1346"/>
    <x v="5"/>
    <x v="1"/>
    <x v="4"/>
    <s v="Electronics"/>
    <s v="Headphones"/>
    <n v="6"/>
    <n v="800"/>
    <n v="4800"/>
    <s v="01"/>
  </r>
  <r>
    <n v="1347"/>
    <x v="6"/>
    <x v="2"/>
    <x v="0"/>
    <s v="Clothing"/>
    <s v="Shoes"/>
    <n v="3"/>
    <n v="21000"/>
    <n v="63000"/>
    <s v="01"/>
  </r>
  <r>
    <n v="1348"/>
    <x v="7"/>
    <x v="3"/>
    <x v="5"/>
    <s v="Electronics"/>
    <s v="Laptop"/>
    <n v="1"/>
    <n v="3500"/>
    <n v="3500"/>
    <s v="01"/>
  </r>
  <r>
    <n v="1349"/>
    <x v="8"/>
    <x v="0"/>
    <x v="6"/>
    <s v="Furniture"/>
    <s v="Sofa"/>
    <n v="1"/>
    <n v="2600"/>
    <n v="2600"/>
    <s v="01"/>
  </r>
  <r>
    <n v="1350"/>
    <x v="9"/>
    <x v="1"/>
    <x v="2"/>
    <s v="Clothing"/>
    <s v="T-shirt"/>
    <n v="10"/>
    <n v="58000"/>
    <n v="580000"/>
    <s v="01"/>
  </r>
  <r>
    <n v="1351"/>
    <x v="10"/>
    <x v="2"/>
    <x v="7"/>
    <s v="Electronics"/>
    <s v="Smartphone"/>
    <n v="2"/>
    <n v="11000"/>
    <n v="22000"/>
    <s v="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8F949-46FD-4638-8A29-E247DAEC8C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2">
    <pivotField dataField="1"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ID" fld="0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3DA27-4D9E-4B34-B69C-90B6CEF0E5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20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ADD2-127B-4AD1-A45A-811D42475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6" firstHeaderRow="0" firstDataRow="1" firstDataCol="1"/>
  <pivotFields count="12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"/>
  <sheetViews>
    <sheetView topLeftCell="A334" workbookViewId="0">
      <selection sqref="A1:J352"/>
    </sheetView>
  </sheetViews>
  <sheetFormatPr defaultRowHeight="14.5" x14ac:dyDescent="0.35"/>
  <cols>
    <col min="2" max="2" width="10.08984375" bestFit="1" customWidth="1"/>
    <col min="7" max="7" width="11.36328125" bestFit="1" customWidth="1"/>
    <col min="19" max="19" width="12.1796875" customWidth="1"/>
    <col min="20" max="20" width="14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  <c r="J1" t="s">
        <v>46</v>
      </c>
    </row>
    <row r="2" spans="1:21" x14ac:dyDescent="0.35">
      <c r="A2">
        <v>1001</v>
      </c>
      <c r="B2" s="1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  <c r="I2">
        <f>H2*G2</f>
        <v>110000</v>
      </c>
      <c r="J2" t="str">
        <f>TEXT(B2,"MM")</f>
        <v>01</v>
      </c>
    </row>
    <row r="3" spans="1:21" x14ac:dyDescent="0.35">
      <c r="A3">
        <v>1002</v>
      </c>
      <c r="B3" s="1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  <c r="I3">
        <f t="shared" ref="I3:I66" si="0">H3*G3</f>
        <v>17500</v>
      </c>
      <c r="J3" t="str">
        <f t="shared" ref="J3:J66" si="1">TEXT(B3,"MM")</f>
        <v>01</v>
      </c>
      <c r="K3" s="6" t="s">
        <v>34</v>
      </c>
      <c r="L3" s="6"/>
      <c r="M3" s="6"/>
      <c r="N3" s="6"/>
      <c r="O3" s="6"/>
      <c r="P3" s="6"/>
      <c r="Q3" s="6"/>
      <c r="R3" t="s">
        <v>37</v>
      </c>
      <c r="S3" t="s">
        <v>36</v>
      </c>
      <c r="T3" s="2">
        <f>SUM(I:I)</f>
        <v>19735050</v>
      </c>
    </row>
    <row r="4" spans="1:21" x14ac:dyDescent="0.35">
      <c r="A4">
        <v>1003</v>
      </c>
      <c r="B4" s="1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  <c r="I4">
        <f t="shared" si="0"/>
        <v>66000</v>
      </c>
      <c r="J4" t="str">
        <f t="shared" si="1"/>
        <v>01</v>
      </c>
      <c r="K4" s="6"/>
      <c r="L4" s="6"/>
      <c r="M4" s="6"/>
      <c r="N4" s="6"/>
      <c r="O4" s="6"/>
      <c r="P4" s="6"/>
      <c r="Q4" s="6"/>
    </row>
    <row r="5" spans="1:21" x14ac:dyDescent="0.35">
      <c r="A5">
        <v>1004</v>
      </c>
      <c r="B5" s="1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  <c r="I5">
        <f t="shared" si="0"/>
        <v>10000</v>
      </c>
      <c r="J5" t="str">
        <f t="shared" si="1"/>
        <v>01</v>
      </c>
      <c r="K5" s="6"/>
      <c r="L5" s="6"/>
      <c r="M5" s="6"/>
      <c r="N5" s="6"/>
      <c r="O5" s="6"/>
      <c r="P5" s="6"/>
      <c r="Q5" s="6"/>
    </row>
    <row r="6" spans="1:21" x14ac:dyDescent="0.35">
      <c r="A6">
        <v>1005</v>
      </c>
      <c r="B6" s="1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  <c r="I6">
        <f t="shared" si="0"/>
        <v>24000</v>
      </c>
      <c r="J6" t="str">
        <f t="shared" si="1"/>
        <v>01</v>
      </c>
      <c r="K6" s="6"/>
      <c r="L6" s="6"/>
      <c r="M6" s="6"/>
      <c r="N6" s="6"/>
      <c r="O6" s="6"/>
      <c r="P6" s="6"/>
      <c r="Q6" s="6"/>
      <c r="R6" t="s">
        <v>38</v>
      </c>
      <c r="S6" t="s">
        <v>8</v>
      </c>
      <c r="T6">
        <f>SUMIF(C:C,S6,I:I)</f>
        <v>3344850</v>
      </c>
    </row>
    <row r="7" spans="1:21" x14ac:dyDescent="0.35">
      <c r="A7">
        <v>1006</v>
      </c>
      <c r="B7" s="1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  <c r="I7">
        <f t="shared" si="0"/>
        <v>12000</v>
      </c>
      <c r="J7" t="str">
        <f t="shared" si="1"/>
        <v>01</v>
      </c>
      <c r="K7" s="6"/>
      <c r="L7" s="6"/>
      <c r="M7" s="6"/>
      <c r="N7" s="6"/>
      <c r="O7" s="6"/>
      <c r="P7" s="6"/>
      <c r="Q7" s="6"/>
      <c r="S7" t="s">
        <v>12</v>
      </c>
      <c r="T7">
        <f t="shared" ref="T7:T9" si="2">SUMIF(C:C,S7,I:I)</f>
        <v>7273800</v>
      </c>
    </row>
    <row r="8" spans="1:21" x14ac:dyDescent="0.35">
      <c r="A8">
        <v>1007</v>
      </c>
      <c r="B8" s="1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  <c r="I8">
        <f t="shared" si="0"/>
        <v>9000</v>
      </c>
      <c r="J8" t="str">
        <f t="shared" si="1"/>
        <v>01</v>
      </c>
      <c r="K8" s="6"/>
      <c r="L8" s="6"/>
      <c r="M8" s="6"/>
      <c r="N8" s="6"/>
      <c r="O8" s="6"/>
      <c r="P8" s="6"/>
      <c r="Q8" s="6"/>
      <c r="S8" t="s">
        <v>16</v>
      </c>
      <c r="T8">
        <f t="shared" si="2"/>
        <v>3727850</v>
      </c>
    </row>
    <row r="9" spans="1:21" x14ac:dyDescent="0.35">
      <c r="A9">
        <v>1008</v>
      </c>
      <c r="B9" s="1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  <c r="I9">
        <f t="shared" si="0"/>
        <v>60000</v>
      </c>
      <c r="J9" t="str">
        <f t="shared" si="1"/>
        <v>01</v>
      </c>
      <c r="K9" s="6"/>
      <c r="L9" s="6"/>
      <c r="M9" s="6"/>
      <c r="N9" s="6"/>
      <c r="O9" s="6"/>
      <c r="P9" s="6"/>
      <c r="Q9" s="6"/>
      <c r="S9" t="s">
        <v>19</v>
      </c>
      <c r="T9">
        <f t="shared" si="2"/>
        <v>5388550</v>
      </c>
    </row>
    <row r="10" spans="1:21" x14ac:dyDescent="0.35">
      <c r="A10">
        <v>1009</v>
      </c>
      <c r="B10" s="1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  <c r="I10">
        <f t="shared" si="0"/>
        <v>45000</v>
      </c>
      <c r="J10" t="str">
        <f t="shared" si="1"/>
        <v>01</v>
      </c>
      <c r="K10" s="6"/>
      <c r="L10" s="6"/>
      <c r="M10" s="6"/>
      <c r="N10" s="6"/>
      <c r="O10" s="6"/>
      <c r="P10" s="6"/>
      <c r="Q10" s="6"/>
    </row>
    <row r="11" spans="1:21" x14ac:dyDescent="0.35">
      <c r="A11">
        <v>1010</v>
      </c>
      <c r="B11" s="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  <c r="I11">
        <f t="shared" si="0"/>
        <v>8000</v>
      </c>
      <c r="J11" t="str">
        <f t="shared" si="1"/>
        <v>01</v>
      </c>
      <c r="K11" s="6"/>
      <c r="L11" s="6"/>
      <c r="M11" s="6"/>
      <c r="N11" s="6"/>
      <c r="O11" s="6"/>
      <c r="P11" s="6"/>
      <c r="Q11" s="6"/>
      <c r="R11" t="s">
        <v>39</v>
      </c>
      <c r="S11" s="3" t="s">
        <v>5</v>
      </c>
      <c r="T11" t="s">
        <v>40</v>
      </c>
      <c r="U11" t="s">
        <v>41</v>
      </c>
    </row>
    <row r="12" spans="1:21" x14ac:dyDescent="0.35">
      <c r="A12">
        <v>1011</v>
      </c>
      <c r="B12" s="1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  <c r="I12">
        <f t="shared" si="0"/>
        <v>42000</v>
      </c>
      <c r="J12" t="str">
        <f t="shared" si="1"/>
        <v>02</v>
      </c>
      <c r="K12" s="6"/>
      <c r="L12" s="6"/>
      <c r="M12" s="6"/>
      <c r="N12" s="6"/>
      <c r="O12" s="6"/>
      <c r="P12" s="6"/>
      <c r="Q12" s="6"/>
      <c r="S12" t="s">
        <v>11</v>
      </c>
      <c r="T12">
        <f>SUMIF(F:F,S12,I:I)</f>
        <v>1739450</v>
      </c>
      <c r="U12">
        <f>SUMIF(F:F,S12,G:G)</f>
        <v>88</v>
      </c>
    </row>
    <row r="13" spans="1:21" x14ac:dyDescent="0.35">
      <c r="A13">
        <v>1012</v>
      </c>
      <c r="B13" s="1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  <c r="I13">
        <f t="shared" si="0"/>
        <v>10500</v>
      </c>
      <c r="J13" t="str">
        <f t="shared" si="1"/>
        <v>02</v>
      </c>
      <c r="K13" s="6"/>
      <c r="L13" s="6"/>
      <c r="M13" s="6"/>
      <c r="N13" s="6"/>
      <c r="O13" s="6"/>
      <c r="P13" s="6"/>
      <c r="Q13" s="6"/>
      <c r="S13" t="s">
        <v>15</v>
      </c>
      <c r="T13">
        <f t="shared" ref="T13:T20" si="3">SUMIF(F:F,S13,I:I)</f>
        <v>2634700</v>
      </c>
      <c r="U13">
        <f t="shared" ref="U13:U20" si="4">SUMIF(F:F,S13,G:G)</f>
        <v>141</v>
      </c>
    </row>
    <row r="14" spans="1:21" x14ac:dyDescent="0.35">
      <c r="A14">
        <v>1013</v>
      </c>
      <c r="B14" s="1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  <c r="I14">
        <f t="shared" si="0"/>
        <v>5200</v>
      </c>
      <c r="J14" t="str">
        <f t="shared" si="1"/>
        <v>02</v>
      </c>
      <c r="K14" s="6"/>
      <c r="L14" s="6"/>
      <c r="M14" s="6"/>
      <c r="N14" s="6"/>
      <c r="O14" s="6"/>
      <c r="P14" s="6"/>
      <c r="Q14" s="6"/>
      <c r="S14" t="s">
        <v>18</v>
      </c>
      <c r="T14">
        <f t="shared" si="3"/>
        <v>1914950</v>
      </c>
      <c r="U14">
        <f t="shared" si="4"/>
        <v>90</v>
      </c>
    </row>
    <row r="15" spans="1:21" x14ac:dyDescent="0.35">
      <c r="A15">
        <v>1014</v>
      </c>
      <c r="B15" s="1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  <c r="I15">
        <f t="shared" si="0"/>
        <v>58000</v>
      </c>
      <c r="J15" t="str">
        <f t="shared" si="1"/>
        <v>02</v>
      </c>
      <c r="K15" s="6"/>
      <c r="L15" s="6"/>
      <c r="M15" s="6"/>
      <c r="N15" s="6"/>
      <c r="O15" s="6"/>
      <c r="P15" s="6"/>
      <c r="Q15" s="6"/>
      <c r="S15" t="s">
        <v>22</v>
      </c>
      <c r="T15">
        <f t="shared" si="3"/>
        <v>2003300</v>
      </c>
      <c r="U15">
        <f t="shared" si="4"/>
        <v>106</v>
      </c>
    </row>
    <row r="16" spans="1:21" x14ac:dyDescent="0.35">
      <c r="A16">
        <v>1015</v>
      </c>
      <c r="B16" s="1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  <c r="I16">
        <f t="shared" si="0"/>
        <v>11000</v>
      </c>
      <c r="J16" t="str">
        <f t="shared" si="1"/>
        <v>02</v>
      </c>
      <c r="K16" s="6"/>
      <c r="L16" s="6"/>
      <c r="M16" s="6"/>
      <c r="N16" s="6"/>
      <c r="O16" s="6"/>
      <c r="P16" s="6"/>
      <c r="Q16" s="6"/>
      <c r="S16" t="s">
        <v>23</v>
      </c>
      <c r="T16">
        <f t="shared" si="3"/>
        <v>1132350</v>
      </c>
      <c r="U16">
        <f t="shared" si="4"/>
        <v>53</v>
      </c>
    </row>
    <row r="17" spans="1:21" x14ac:dyDescent="0.35">
      <c r="A17">
        <v>1016</v>
      </c>
      <c r="B17" s="1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  <c r="I17">
        <f t="shared" si="0"/>
        <v>8800</v>
      </c>
      <c r="J17" t="str">
        <f t="shared" si="1"/>
        <v>02</v>
      </c>
      <c r="S17" t="s">
        <v>25</v>
      </c>
      <c r="T17">
        <f t="shared" si="3"/>
        <v>2685100</v>
      </c>
      <c r="U17">
        <f t="shared" si="4"/>
        <v>176</v>
      </c>
    </row>
    <row r="18" spans="1:21" x14ac:dyDescent="0.35">
      <c r="A18">
        <v>1017</v>
      </c>
      <c r="B18" s="1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  <c r="I18">
        <f t="shared" si="0"/>
        <v>6400</v>
      </c>
      <c r="J18" t="str">
        <f t="shared" si="1"/>
        <v>02</v>
      </c>
      <c r="S18" t="s">
        <v>26</v>
      </c>
      <c r="T18">
        <f t="shared" si="3"/>
        <v>1874000</v>
      </c>
      <c r="U18">
        <f t="shared" si="4"/>
        <v>88</v>
      </c>
    </row>
    <row r="19" spans="1:21" x14ac:dyDescent="0.35">
      <c r="A19">
        <v>1018</v>
      </c>
      <c r="B19" s="1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  <c r="I19">
        <f t="shared" si="0"/>
        <v>47000</v>
      </c>
      <c r="J19" t="str">
        <f t="shared" si="1"/>
        <v>02</v>
      </c>
      <c r="S19" t="s">
        <v>29</v>
      </c>
      <c r="T19">
        <f t="shared" si="3"/>
        <v>725450</v>
      </c>
      <c r="U19">
        <f t="shared" si="4"/>
        <v>35</v>
      </c>
    </row>
    <row r="20" spans="1:21" x14ac:dyDescent="0.35">
      <c r="A20">
        <v>1019</v>
      </c>
      <c r="B20" s="1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  <c r="I20">
        <f t="shared" si="0"/>
        <v>59000</v>
      </c>
      <c r="J20" t="str">
        <f t="shared" si="1"/>
        <v>02</v>
      </c>
      <c r="S20" t="s">
        <v>30</v>
      </c>
      <c r="T20">
        <f t="shared" si="3"/>
        <v>5025750</v>
      </c>
      <c r="U20">
        <f t="shared" si="4"/>
        <v>265</v>
      </c>
    </row>
    <row r="21" spans="1:21" x14ac:dyDescent="0.35">
      <c r="A21">
        <v>1020</v>
      </c>
      <c r="B21" s="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  <c r="I21">
        <f t="shared" si="0"/>
        <v>4250</v>
      </c>
      <c r="J21" t="str">
        <f t="shared" si="1"/>
        <v>02</v>
      </c>
    </row>
    <row r="22" spans="1:21" x14ac:dyDescent="0.35">
      <c r="A22">
        <v>1021</v>
      </c>
      <c r="B22" s="1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  <c r="I22">
        <f t="shared" si="0"/>
        <v>7000</v>
      </c>
      <c r="J22" t="str">
        <f t="shared" si="1"/>
        <v>01</v>
      </c>
      <c r="R22" t="s">
        <v>42</v>
      </c>
      <c r="S22" t="s">
        <v>43</v>
      </c>
      <c r="T22">
        <v>1</v>
      </c>
      <c r="U22">
        <f>SUMIF(J:J,T22,I:I)</f>
        <v>12464500</v>
      </c>
    </row>
    <row r="23" spans="1:21" x14ac:dyDescent="0.35">
      <c r="A23">
        <v>1022</v>
      </c>
      <c r="B23" s="1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  <c r="I23">
        <f t="shared" si="0"/>
        <v>13000</v>
      </c>
      <c r="J23" t="str">
        <f t="shared" si="1"/>
        <v>01</v>
      </c>
      <c r="S23" t="s">
        <v>44</v>
      </c>
      <c r="T23">
        <v>2</v>
      </c>
      <c r="U23">
        <f>SUMIF(J:J,T23,I:I)</f>
        <v>7270550</v>
      </c>
    </row>
    <row r="24" spans="1:21" x14ac:dyDescent="0.35">
      <c r="A24">
        <v>1023</v>
      </c>
      <c r="B24" s="1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  <c r="I24">
        <f t="shared" si="0"/>
        <v>174000</v>
      </c>
      <c r="J24" t="str">
        <f t="shared" si="1"/>
        <v>01</v>
      </c>
    </row>
    <row r="25" spans="1:21" x14ac:dyDescent="0.35">
      <c r="A25">
        <v>1024</v>
      </c>
      <c r="B25" s="1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  <c r="I25">
        <f t="shared" si="0"/>
        <v>44000</v>
      </c>
      <c r="J25" t="str">
        <f t="shared" si="1"/>
        <v>01</v>
      </c>
      <c r="R25" t="s">
        <v>45</v>
      </c>
      <c r="S25" t="s">
        <v>3</v>
      </c>
    </row>
    <row r="26" spans="1:21" x14ac:dyDescent="0.35">
      <c r="A26">
        <v>1025</v>
      </c>
      <c r="B26" s="1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  <c r="I26">
        <f t="shared" si="0"/>
        <v>4400</v>
      </c>
      <c r="J26" t="str">
        <f t="shared" si="1"/>
        <v>01</v>
      </c>
      <c r="S26" t="s">
        <v>9</v>
      </c>
      <c r="T26">
        <f>SUMIF(D:D,S26,I:I)</f>
        <v>2965000</v>
      </c>
    </row>
    <row r="27" spans="1:21" x14ac:dyDescent="0.35">
      <c r="A27">
        <v>1026</v>
      </c>
      <c r="B27" s="1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  <c r="I27">
        <f t="shared" si="0"/>
        <v>19200</v>
      </c>
      <c r="J27" t="str">
        <f t="shared" si="1"/>
        <v>01</v>
      </c>
      <c r="S27" t="s">
        <v>13</v>
      </c>
      <c r="T27">
        <f t="shared" ref="T27:T35" si="5">SUMIF(D:D,S27,I:I)</f>
        <v>3412900</v>
      </c>
    </row>
    <row r="28" spans="1:21" x14ac:dyDescent="0.35">
      <c r="A28">
        <v>1027</v>
      </c>
      <c r="B28" s="1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  <c r="I28">
        <f t="shared" si="0"/>
        <v>141000</v>
      </c>
      <c r="J28" t="str">
        <f t="shared" si="1"/>
        <v>01</v>
      </c>
      <c r="S28" t="s">
        <v>17</v>
      </c>
      <c r="T28">
        <f t="shared" si="5"/>
        <v>4332750</v>
      </c>
    </row>
    <row r="29" spans="1:21" x14ac:dyDescent="0.35">
      <c r="A29">
        <v>1028</v>
      </c>
      <c r="B29" s="1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  <c r="I29">
        <f t="shared" si="0"/>
        <v>59000</v>
      </c>
      <c r="J29" t="str">
        <f t="shared" si="1"/>
        <v>01</v>
      </c>
      <c r="S29" t="s">
        <v>20</v>
      </c>
      <c r="T29">
        <f t="shared" si="5"/>
        <v>1615450</v>
      </c>
    </row>
    <row r="30" spans="1:21" x14ac:dyDescent="0.35">
      <c r="A30">
        <v>1029</v>
      </c>
      <c r="B30" s="1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  <c r="I30">
        <f t="shared" si="0"/>
        <v>850</v>
      </c>
      <c r="J30" t="str">
        <f t="shared" si="1"/>
        <v>01</v>
      </c>
      <c r="S30" t="s">
        <v>24</v>
      </c>
      <c r="T30">
        <f t="shared" si="5"/>
        <v>2309600</v>
      </c>
    </row>
    <row r="31" spans="1:21" x14ac:dyDescent="0.35">
      <c r="A31">
        <v>1030</v>
      </c>
      <c r="B31" s="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  <c r="I31">
        <f t="shared" si="0"/>
        <v>25000</v>
      </c>
      <c r="J31" t="str">
        <f t="shared" si="1"/>
        <v>01</v>
      </c>
      <c r="S31" t="s">
        <v>27</v>
      </c>
      <c r="T31">
        <f t="shared" si="5"/>
        <v>701350</v>
      </c>
    </row>
    <row r="32" spans="1:21" x14ac:dyDescent="0.35">
      <c r="A32">
        <v>1031</v>
      </c>
      <c r="B32" s="1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  <c r="I32">
        <f t="shared" si="0"/>
        <v>24000</v>
      </c>
      <c r="J32" t="str">
        <f t="shared" si="1"/>
        <v>02</v>
      </c>
      <c r="S32" t="s">
        <v>28</v>
      </c>
      <c r="T32">
        <f t="shared" si="5"/>
        <v>716400</v>
      </c>
    </row>
    <row r="33" spans="1:20" x14ac:dyDescent="0.35">
      <c r="A33">
        <v>1032</v>
      </c>
      <c r="B33" s="1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  <c r="I33">
        <f t="shared" si="0"/>
        <v>6000</v>
      </c>
      <c r="J33" t="str">
        <f t="shared" si="1"/>
        <v>02</v>
      </c>
      <c r="S33" t="s">
        <v>31</v>
      </c>
      <c r="T33">
        <f t="shared" si="5"/>
        <v>2607950</v>
      </c>
    </row>
    <row r="34" spans="1:20" x14ac:dyDescent="0.35">
      <c r="A34">
        <v>1033</v>
      </c>
      <c r="B34" s="1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  <c r="I34">
        <f t="shared" si="0"/>
        <v>6000</v>
      </c>
      <c r="J34" t="str">
        <f t="shared" si="1"/>
        <v>02</v>
      </c>
      <c r="S34" t="s">
        <v>32</v>
      </c>
      <c r="T34">
        <f t="shared" si="5"/>
        <v>719500</v>
      </c>
    </row>
    <row r="35" spans="1:20" x14ac:dyDescent="0.35">
      <c r="A35">
        <v>1034</v>
      </c>
      <c r="B35" s="1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  <c r="I35">
        <f t="shared" si="0"/>
        <v>60000</v>
      </c>
      <c r="J35" t="str">
        <f t="shared" si="1"/>
        <v>02</v>
      </c>
      <c r="S35" t="s">
        <v>33</v>
      </c>
      <c r="T35">
        <f t="shared" si="5"/>
        <v>354150</v>
      </c>
    </row>
    <row r="36" spans="1:20" x14ac:dyDescent="0.35">
      <c r="A36">
        <v>1035</v>
      </c>
      <c r="B36" s="1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  <c r="I36">
        <f t="shared" si="0"/>
        <v>45000</v>
      </c>
      <c r="J36" t="str">
        <f t="shared" si="1"/>
        <v>02</v>
      </c>
    </row>
    <row r="37" spans="1:20" x14ac:dyDescent="0.35">
      <c r="A37">
        <v>1036</v>
      </c>
      <c r="B37" s="1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  <c r="I37">
        <f t="shared" si="0"/>
        <v>3200</v>
      </c>
      <c r="J37" t="str">
        <f t="shared" si="1"/>
        <v>02</v>
      </c>
    </row>
    <row r="38" spans="1:20" x14ac:dyDescent="0.35">
      <c r="A38">
        <v>1037</v>
      </c>
      <c r="B38" s="1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  <c r="I38">
        <f t="shared" si="0"/>
        <v>42000</v>
      </c>
      <c r="J38" t="str">
        <f t="shared" si="1"/>
        <v>02</v>
      </c>
    </row>
    <row r="39" spans="1:20" x14ac:dyDescent="0.35">
      <c r="A39">
        <v>1038</v>
      </c>
      <c r="B39" s="1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  <c r="I39">
        <f t="shared" si="0"/>
        <v>3500</v>
      </c>
      <c r="J39" t="str">
        <f t="shared" si="1"/>
        <v>02</v>
      </c>
    </row>
    <row r="40" spans="1:20" x14ac:dyDescent="0.35">
      <c r="A40">
        <v>1039</v>
      </c>
      <c r="B40" s="1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  <c r="I40">
        <f t="shared" si="0"/>
        <v>2600</v>
      </c>
      <c r="J40" t="str">
        <f t="shared" si="1"/>
        <v>02</v>
      </c>
    </row>
    <row r="41" spans="1:20" x14ac:dyDescent="0.35">
      <c r="A41">
        <v>1040</v>
      </c>
      <c r="B41" s="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  <c r="I41">
        <f t="shared" si="0"/>
        <v>290000</v>
      </c>
      <c r="J41" t="str">
        <f t="shared" si="1"/>
        <v>02</v>
      </c>
    </row>
    <row r="42" spans="1:20" x14ac:dyDescent="0.35">
      <c r="A42">
        <v>1041</v>
      </c>
      <c r="B42" s="1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  <c r="I42">
        <f t="shared" si="0"/>
        <v>22000</v>
      </c>
      <c r="J42" t="str">
        <f t="shared" si="1"/>
        <v>01</v>
      </c>
    </row>
    <row r="43" spans="1:20" x14ac:dyDescent="0.35">
      <c r="A43">
        <v>1042</v>
      </c>
      <c r="B43" s="1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  <c r="I43">
        <f t="shared" si="0"/>
        <v>11000</v>
      </c>
      <c r="J43" t="str">
        <f t="shared" si="1"/>
        <v>01</v>
      </c>
    </row>
    <row r="44" spans="1:20" x14ac:dyDescent="0.35">
      <c r="A44">
        <v>1043</v>
      </c>
      <c r="B44" s="1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  <c r="I44">
        <f t="shared" si="0"/>
        <v>165000</v>
      </c>
      <c r="J44" t="str">
        <f t="shared" si="1"/>
        <v>01</v>
      </c>
    </row>
    <row r="45" spans="1:20" x14ac:dyDescent="0.35">
      <c r="A45">
        <v>1044</v>
      </c>
      <c r="B45" s="1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  <c r="I45">
        <f t="shared" si="0"/>
        <v>14000</v>
      </c>
      <c r="J45" t="str">
        <f t="shared" si="1"/>
        <v>01</v>
      </c>
    </row>
    <row r="46" spans="1:20" x14ac:dyDescent="0.35">
      <c r="A46">
        <v>1045</v>
      </c>
      <c r="B46" s="1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  <c r="I46">
        <f t="shared" si="0"/>
        <v>44000</v>
      </c>
      <c r="J46" t="str">
        <f t="shared" si="1"/>
        <v>01</v>
      </c>
    </row>
    <row r="47" spans="1:20" x14ac:dyDescent="0.35">
      <c r="A47">
        <v>1046</v>
      </c>
      <c r="B47" s="1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  <c r="I47">
        <f t="shared" si="0"/>
        <v>15000</v>
      </c>
      <c r="J47" t="str">
        <f t="shared" si="1"/>
        <v>01</v>
      </c>
    </row>
    <row r="48" spans="1:20" x14ac:dyDescent="0.35">
      <c r="A48">
        <v>1047</v>
      </c>
      <c r="B48" s="1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  <c r="I48">
        <f t="shared" si="0"/>
        <v>36000</v>
      </c>
      <c r="J48" t="str">
        <f t="shared" si="1"/>
        <v>01</v>
      </c>
    </row>
    <row r="49" spans="1:10" x14ac:dyDescent="0.35">
      <c r="A49">
        <v>1048</v>
      </c>
      <c r="B49" s="1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  <c r="I49">
        <f t="shared" si="0"/>
        <v>2000</v>
      </c>
      <c r="J49" t="str">
        <f t="shared" si="1"/>
        <v>01</v>
      </c>
    </row>
    <row r="50" spans="1:10" x14ac:dyDescent="0.35">
      <c r="A50">
        <v>1049</v>
      </c>
      <c r="B50" s="1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  <c r="I50">
        <f t="shared" si="0"/>
        <v>3000</v>
      </c>
      <c r="J50" t="str">
        <f t="shared" si="1"/>
        <v>01</v>
      </c>
    </row>
    <row r="51" spans="1:10" x14ac:dyDescent="0.35">
      <c r="A51">
        <v>1050</v>
      </c>
      <c r="B51" s="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  <c r="I51">
        <f t="shared" si="0"/>
        <v>600000</v>
      </c>
      <c r="J51" t="str">
        <f t="shared" si="1"/>
        <v>01</v>
      </c>
    </row>
    <row r="52" spans="1:10" x14ac:dyDescent="0.35">
      <c r="A52">
        <v>1051</v>
      </c>
      <c r="B52" s="1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  <c r="I52">
        <f t="shared" si="0"/>
        <v>90000</v>
      </c>
      <c r="J52" t="str">
        <f t="shared" si="1"/>
        <v>02</v>
      </c>
    </row>
    <row r="53" spans="1:10" x14ac:dyDescent="0.35">
      <c r="A53">
        <v>1052</v>
      </c>
      <c r="B53" s="1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  <c r="I53">
        <f t="shared" si="0"/>
        <v>2400</v>
      </c>
      <c r="J53" t="str">
        <f t="shared" si="1"/>
        <v>02</v>
      </c>
    </row>
    <row r="54" spans="1:10" x14ac:dyDescent="0.35">
      <c r="A54">
        <v>1053</v>
      </c>
      <c r="B54" s="1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  <c r="I54">
        <f t="shared" si="0"/>
        <v>42000</v>
      </c>
      <c r="J54" t="str">
        <f t="shared" si="1"/>
        <v>02</v>
      </c>
    </row>
    <row r="55" spans="1:10" x14ac:dyDescent="0.35">
      <c r="A55">
        <v>1054</v>
      </c>
      <c r="B55" s="1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  <c r="I55">
        <f t="shared" si="0"/>
        <v>3500</v>
      </c>
      <c r="J55" t="str">
        <f t="shared" si="1"/>
        <v>02</v>
      </c>
    </row>
    <row r="56" spans="1:10" x14ac:dyDescent="0.35">
      <c r="A56">
        <v>1055</v>
      </c>
      <c r="B56" s="1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  <c r="I56">
        <f t="shared" si="0"/>
        <v>2600</v>
      </c>
      <c r="J56" t="str">
        <f t="shared" si="1"/>
        <v>02</v>
      </c>
    </row>
    <row r="57" spans="1:10" x14ac:dyDescent="0.35">
      <c r="A57">
        <v>1056</v>
      </c>
      <c r="B57" s="1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  <c r="I57">
        <f t="shared" si="0"/>
        <v>232000</v>
      </c>
      <c r="J57" t="str">
        <f t="shared" si="1"/>
        <v>02</v>
      </c>
    </row>
    <row r="58" spans="1:10" x14ac:dyDescent="0.35">
      <c r="A58">
        <v>1057</v>
      </c>
      <c r="B58" s="1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  <c r="I58">
        <f t="shared" si="0"/>
        <v>22000</v>
      </c>
      <c r="J58" t="str">
        <f t="shared" si="1"/>
        <v>02</v>
      </c>
    </row>
    <row r="59" spans="1:10" x14ac:dyDescent="0.35">
      <c r="A59">
        <v>1058</v>
      </c>
      <c r="B59" s="1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  <c r="I59">
        <f t="shared" si="0"/>
        <v>2200</v>
      </c>
      <c r="J59" t="str">
        <f t="shared" si="1"/>
        <v>02</v>
      </c>
    </row>
    <row r="60" spans="1:10" x14ac:dyDescent="0.35">
      <c r="A60">
        <v>1059</v>
      </c>
      <c r="B60" s="1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  <c r="I60">
        <f t="shared" si="0"/>
        <v>3200</v>
      </c>
      <c r="J60" t="str">
        <f t="shared" si="1"/>
        <v>02</v>
      </c>
    </row>
    <row r="61" spans="1:10" x14ac:dyDescent="0.35">
      <c r="A61">
        <v>1060</v>
      </c>
      <c r="B61" s="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  <c r="I61">
        <f t="shared" si="0"/>
        <v>235000</v>
      </c>
      <c r="J61" t="str">
        <f t="shared" si="1"/>
        <v>02</v>
      </c>
    </row>
    <row r="62" spans="1:10" x14ac:dyDescent="0.35">
      <c r="A62">
        <v>1061</v>
      </c>
      <c r="B62" s="1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  <c r="I62">
        <f t="shared" si="0"/>
        <v>118000</v>
      </c>
      <c r="J62" t="str">
        <f t="shared" si="1"/>
        <v>01</v>
      </c>
    </row>
    <row r="63" spans="1:10" x14ac:dyDescent="0.35">
      <c r="A63">
        <v>1062</v>
      </c>
      <c r="B63" s="1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  <c r="I63">
        <f t="shared" si="0"/>
        <v>4250</v>
      </c>
      <c r="J63" t="str">
        <f t="shared" si="1"/>
        <v>01</v>
      </c>
    </row>
    <row r="64" spans="1:10" x14ac:dyDescent="0.35">
      <c r="A64">
        <v>1063</v>
      </c>
      <c r="B64" s="1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  <c r="I64">
        <f t="shared" si="0"/>
        <v>10500</v>
      </c>
      <c r="J64" t="str">
        <f t="shared" si="1"/>
        <v>01</v>
      </c>
    </row>
    <row r="65" spans="1:10" x14ac:dyDescent="0.35">
      <c r="A65">
        <v>1064</v>
      </c>
      <c r="B65" s="1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  <c r="I65">
        <f t="shared" si="0"/>
        <v>10400</v>
      </c>
      <c r="J65" t="str">
        <f t="shared" si="1"/>
        <v>01</v>
      </c>
    </row>
    <row r="66" spans="1:10" x14ac:dyDescent="0.35">
      <c r="A66">
        <v>1065</v>
      </c>
      <c r="B66" s="1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  <c r="I66">
        <f t="shared" si="0"/>
        <v>116000</v>
      </c>
      <c r="J66" t="str">
        <f t="shared" si="1"/>
        <v>01</v>
      </c>
    </row>
    <row r="67" spans="1:10" x14ac:dyDescent="0.35">
      <c r="A67">
        <v>1066</v>
      </c>
      <c r="B67" s="1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  <c r="I67">
        <f t="shared" ref="I67:I130" si="6">H67*G67</f>
        <v>66000</v>
      </c>
      <c r="J67" t="str">
        <f t="shared" ref="J67:J130" si="7">TEXT(B67,"MM")</f>
        <v>01</v>
      </c>
    </row>
    <row r="68" spans="1:10" x14ac:dyDescent="0.35">
      <c r="A68">
        <v>1067</v>
      </c>
      <c r="B68" s="1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  <c r="I68">
        <f t="shared" si="6"/>
        <v>6600</v>
      </c>
      <c r="J68" t="str">
        <f t="shared" si="7"/>
        <v>01</v>
      </c>
    </row>
    <row r="69" spans="1:10" x14ac:dyDescent="0.35">
      <c r="A69">
        <v>1068</v>
      </c>
      <c r="B69" s="1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  <c r="I69">
        <f t="shared" si="6"/>
        <v>3200</v>
      </c>
      <c r="J69" t="str">
        <f t="shared" si="7"/>
        <v>01</v>
      </c>
    </row>
    <row r="70" spans="1:10" x14ac:dyDescent="0.35">
      <c r="A70">
        <v>1069</v>
      </c>
      <c r="B70" s="1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  <c r="I70">
        <f t="shared" si="6"/>
        <v>47000</v>
      </c>
      <c r="J70" t="str">
        <f t="shared" si="7"/>
        <v>01</v>
      </c>
    </row>
    <row r="71" spans="1:10" x14ac:dyDescent="0.35">
      <c r="A71">
        <v>1070</v>
      </c>
      <c r="B71" s="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  <c r="I71">
        <f t="shared" si="6"/>
        <v>590000</v>
      </c>
      <c r="J71" t="str">
        <f t="shared" si="7"/>
        <v>01</v>
      </c>
    </row>
    <row r="72" spans="1:10" x14ac:dyDescent="0.35">
      <c r="A72">
        <v>1071</v>
      </c>
      <c r="B72" s="1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  <c r="I72">
        <f t="shared" si="6"/>
        <v>1700</v>
      </c>
      <c r="J72" t="str">
        <f t="shared" si="7"/>
        <v>02</v>
      </c>
    </row>
    <row r="73" spans="1:10" x14ac:dyDescent="0.35">
      <c r="A73">
        <v>1072</v>
      </c>
      <c r="B73" s="1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  <c r="I73">
        <f t="shared" si="6"/>
        <v>7500</v>
      </c>
      <c r="J73" t="str">
        <f t="shared" si="7"/>
        <v>02</v>
      </c>
    </row>
    <row r="74" spans="1:10" x14ac:dyDescent="0.35">
      <c r="A74">
        <v>1073</v>
      </c>
      <c r="B74" s="1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  <c r="I74">
        <f t="shared" si="6"/>
        <v>24000</v>
      </c>
      <c r="J74" t="str">
        <f t="shared" si="7"/>
        <v>02</v>
      </c>
    </row>
    <row r="75" spans="1:10" x14ac:dyDescent="0.35">
      <c r="A75">
        <v>1074</v>
      </c>
      <c r="B75" s="1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  <c r="I75">
        <f t="shared" si="6"/>
        <v>2000</v>
      </c>
      <c r="J75" t="str">
        <f t="shared" si="7"/>
        <v>02</v>
      </c>
    </row>
    <row r="76" spans="1:10" x14ac:dyDescent="0.35">
      <c r="A76">
        <v>1075</v>
      </c>
      <c r="B76" s="1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  <c r="I76">
        <f t="shared" si="6"/>
        <v>3000</v>
      </c>
      <c r="J76" t="str">
        <f t="shared" si="7"/>
        <v>02</v>
      </c>
    </row>
    <row r="77" spans="1:10" x14ac:dyDescent="0.35">
      <c r="A77">
        <v>1076</v>
      </c>
      <c r="B77" s="1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  <c r="I77">
        <f t="shared" si="6"/>
        <v>240000</v>
      </c>
      <c r="J77" t="str">
        <f t="shared" si="7"/>
        <v>02</v>
      </c>
    </row>
    <row r="78" spans="1:10" x14ac:dyDescent="0.35">
      <c r="A78">
        <v>1077</v>
      </c>
      <c r="B78" s="1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45000</v>
      </c>
      <c r="I78">
        <f t="shared" si="6"/>
        <v>90000</v>
      </c>
      <c r="J78" t="str">
        <f t="shared" si="7"/>
        <v>02</v>
      </c>
    </row>
    <row r="79" spans="1:10" x14ac:dyDescent="0.35">
      <c r="A79">
        <v>1078</v>
      </c>
      <c r="B79" s="1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  <c r="I79">
        <f t="shared" si="6"/>
        <v>800</v>
      </c>
      <c r="J79" t="str">
        <f t="shared" si="7"/>
        <v>02</v>
      </c>
    </row>
    <row r="80" spans="1:10" x14ac:dyDescent="0.35">
      <c r="A80">
        <v>1079</v>
      </c>
      <c r="B80" s="1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  <c r="I80">
        <f t="shared" si="6"/>
        <v>21000</v>
      </c>
      <c r="J80" t="str">
        <f t="shared" si="7"/>
        <v>02</v>
      </c>
    </row>
    <row r="81" spans="1:10" x14ac:dyDescent="0.35">
      <c r="A81">
        <v>1080</v>
      </c>
      <c r="B81" s="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  <c r="I81">
        <f t="shared" si="6"/>
        <v>17500</v>
      </c>
      <c r="J81" t="str">
        <f t="shared" si="7"/>
        <v>02</v>
      </c>
    </row>
    <row r="82" spans="1:10" x14ac:dyDescent="0.35">
      <c r="A82">
        <v>1081</v>
      </c>
      <c r="B82" s="1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  <c r="I82">
        <f t="shared" si="6"/>
        <v>5200</v>
      </c>
      <c r="J82" t="str">
        <f t="shared" si="7"/>
        <v>01</v>
      </c>
    </row>
    <row r="83" spans="1:10" x14ac:dyDescent="0.35">
      <c r="A83">
        <v>1082</v>
      </c>
      <c r="B83" s="1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  <c r="I83">
        <f t="shared" si="6"/>
        <v>290000</v>
      </c>
      <c r="J83" t="str">
        <f t="shared" si="7"/>
        <v>01</v>
      </c>
    </row>
    <row r="84" spans="1:10" x14ac:dyDescent="0.35">
      <c r="A84">
        <v>1083</v>
      </c>
      <c r="B84" s="1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  <c r="I84">
        <f t="shared" si="6"/>
        <v>33000</v>
      </c>
      <c r="J84" t="str">
        <f t="shared" si="7"/>
        <v>01</v>
      </c>
    </row>
    <row r="85" spans="1:10" x14ac:dyDescent="0.35">
      <c r="A85">
        <v>1084</v>
      </c>
      <c r="B85" s="1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  <c r="I85">
        <f t="shared" si="6"/>
        <v>8800</v>
      </c>
      <c r="J85" t="str">
        <f t="shared" si="7"/>
        <v>01</v>
      </c>
    </row>
    <row r="86" spans="1:10" x14ac:dyDescent="0.35">
      <c r="A86">
        <v>1085</v>
      </c>
      <c r="B86" s="1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  <c r="I86">
        <f t="shared" si="6"/>
        <v>110000</v>
      </c>
      <c r="J86" t="str">
        <f t="shared" si="7"/>
        <v>01</v>
      </c>
    </row>
    <row r="87" spans="1:10" x14ac:dyDescent="0.35">
      <c r="A87">
        <v>1086</v>
      </c>
      <c r="B87" s="1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  <c r="I87">
        <f t="shared" si="6"/>
        <v>21000</v>
      </c>
      <c r="J87" t="str">
        <f t="shared" si="7"/>
        <v>01</v>
      </c>
    </row>
    <row r="88" spans="1:10" x14ac:dyDescent="0.35">
      <c r="A88">
        <v>1087</v>
      </c>
      <c r="B88" s="1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  <c r="I88">
        <f t="shared" si="6"/>
        <v>66000</v>
      </c>
      <c r="J88" t="str">
        <f t="shared" si="7"/>
        <v>01</v>
      </c>
    </row>
    <row r="89" spans="1:10" x14ac:dyDescent="0.35">
      <c r="A89">
        <v>1088</v>
      </c>
      <c r="B89" s="1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  <c r="I89">
        <f t="shared" si="6"/>
        <v>2500</v>
      </c>
      <c r="J89" t="str">
        <f t="shared" si="7"/>
        <v>01</v>
      </c>
    </row>
    <row r="90" spans="1:10" x14ac:dyDescent="0.35">
      <c r="A90">
        <v>1089</v>
      </c>
      <c r="B90" s="1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  <c r="I90">
        <f t="shared" si="6"/>
        <v>12000</v>
      </c>
      <c r="J90" t="str">
        <f t="shared" si="7"/>
        <v>01</v>
      </c>
    </row>
    <row r="91" spans="1:10" x14ac:dyDescent="0.35">
      <c r="A91">
        <v>1090</v>
      </c>
      <c r="B91" s="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  <c r="I91">
        <f t="shared" si="6"/>
        <v>20000</v>
      </c>
      <c r="J91" t="str">
        <f t="shared" si="7"/>
        <v>01</v>
      </c>
    </row>
    <row r="92" spans="1:10" x14ac:dyDescent="0.35">
      <c r="A92">
        <v>1091</v>
      </c>
      <c r="B92" s="1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  <c r="I92">
        <f t="shared" si="6"/>
        <v>6000</v>
      </c>
      <c r="J92" t="str">
        <f t="shared" si="7"/>
        <v>02</v>
      </c>
    </row>
    <row r="93" spans="1:10" x14ac:dyDescent="0.35">
      <c r="A93">
        <v>1092</v>
      </c>
      <c r="B93" s="1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  <c r="I93">
        <f t="shared" si="6"/>
        <v>180000</v>
      </c>
      <c r="J93" t="str">
        <f t="shared" si="7"/>
        <v>02</v>
      </c>
    </row>
    <row r="94" spans="1:10" x14ac:dyDescent="0.35">
      <c r="A94">
        <v>1093</v>
      </c>
      <c r="B94" s="1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  <c r="I94">
        <f t="shared" si="6"/>
        <v>90000</v>
      </c>
      <c r="J94" t="str">
        <f t="shared" si="7"/>
        <v>02</v>
      </c>
    </row>
    <row r="95" spans="1:10" x14ac:dyDescent="0.35">
      <c r="A95">
        <v>1094</v>
      </c>
      <c r="B95" s="1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  <c r="I95">
        <f t="shared" si="6"/>
        <v>800</v>
      </c>
      <c r="J95" t="str">
        <f t="shared" si="7"/>
        <v>02</v>
      </c>
    </row>
    <row r="96" spans="1:10" x14ac:dyDescent="0.35">
      <c r="A96">
        <v>1095</v>
      </c>
      <c r="B96" s="1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  <c r="I96">
        <f t="shared" si="6"/>
        <v>21000</v>
      </c>
      <c r="J96" t="str">
        <f t="shared" si="7"/>
        <v>02</v>
      </c>
    </row>
    <row r="97" spans="1:10" x14ac:dyDescent="0.35">
      <c r="A97">
        <v>1096</v>
      </c>
      <c r="B97" s="1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  <c r="I97">
        <f t="shared" si="6"/>
        <v>14000</v>
      </c>
      <c r="J97" t="str">
        <f t="shared" si="7"/>
        <v>02</v>
      </c>
    </row>
    <row r="98" spans="1:10" x14ac:dyDescent="0.35">
      <c r="A98">
        <v>1097</v>
      </c>
      <c r="B98" s="1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  <c r="I98">
        <f t="shared" si="6"/>
        <v>5200</v>
      </c>
      <c r="J98" t="str">
        <f t="shared" si="7"/>
        <v>02</v>
      </c>
    </row>
    <row r="99" spans="1:10" x14ac:dyDescent="0.35">
      <c r="A99">
        <v>1098</v>
      </c>
      <c r="B99" s="1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  <c r="I99">
        <f t="shared" si="6"/>
        <v>58000</v>
      </c>
      <c r="J99" t="str">
        <f t="shared" si="7"/>
        <v>02</v>
      </c>
    </row>
    <row r="100" spans="1:10" x14ac:dyDescent="0.35">
      <c r="A100">
        <v>1099</v>
      </c>
      <c r="B100" s="1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  <c r="I100">
        <f t="shared" si="6"/>
        <v>11000</v>
      </c>
      <c r="J100" t="str">
        <f t="shared" si="7"/>
        <v>02</v>
      </c>
    </row>
    <row r="101" spans="1:10" x14ac:dyDescent="0.35">
      <c r="A101">
        <v>1100</v>
      </c>
      <c r="B101" s="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  <c r="I101">
        <f t="shared" si="6"/>
        <v>11000</v>
      </c>
      <c r="J101" t="str">
        <f t="shared" si="7"/>
        <v>02</v>
      </c>
    </row>
    <row r="102" spans="1:10" x14ac:dyDescent="0.35">
      <c r="A102">
        <v>1101</v>
      </c>
      <c r="B102" s="1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  <c r="I102">
        <f t="shared" si="6"/>
        <v>6400</v>
      </c>
      <c r="J102" t="str">
        <f t="shared" si="7"/>
        <v>01</v>
      </c>
    </row>
    <row r="103" spans="1:10" x14ac:dyDescent="0.35">
      <c r="A103">
        <v>1102</v>
      </c>
      <c r="B103" s="1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  <c r="I103">
        <f t="shared" si="6"/>
        <v>235000</v>
      </c>
      <c r="J103" t="str">
        <f t="shared" si="7"/>
        <v>01</v>
      </c>
    </row>
    <row r="104" spans="1:10" x14ac:dyDescent="0.35">
      <c r="A104">
        <v>1103</v>
      </c>
      <c r="B104" s="1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  <c r="I104">
        <f t="shared" si="6"/>
        <v>177000</v>
      </c>
      <c r="J104" t="str">
        <f t="shared" si="7"/>
        <v>01</v>
      </c>
    </row>
    <row r="105" spans="1:10" x14ac:dyDescent="0.35">
      <c r="A105">
        <v>1104</v>
      </c>
      <c r="B105" s="1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  <c r="I105">
        <f t="shared" si="6"/>
        <v>3400</v>
      </c>
      <c r="J105" t="str">
        <f t="shared" si="7"/>
        <v>01</v>
      </c>
    </row>
    <row r="106" spans="1:10" x14ac:dyDescent="0.35">
      <c r="A106">
        <v>1105</v>
      </c>
      <c r="B106" s="1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  <c r="I106">
        <f t="shared" si="6"/>
        <v>7000</v>
      </c>
      <c r="J106" t="str">
        <f t="shared" si="7"/>
        <v>01</v>
      </c>
    </row>
    <row r="107" spans="1:10" x14ac:dyDescent="0.35">
      <c r="A107">
        <v>1106</v>
      </c>
      <c r="B107" s="1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  <c r="I107">
        <f t="shared" si="6"/>
        <v>15600</v>
      </c>
      <c r="J107" t="str">
        <f t="shared" si="7"/>
        <v>01</v>
      </c>
    </row>
    <row r="108" spans="1:10" x14ac:dyDescent="0.35">
      <c r="A108">
        <v>1107</v>
      </c>
      <c r="B108" s="1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  <c r="I108">
        <f t="shared" si="6"/>
        <v>174000</v>
      </c>
      <c r="J108" t="str">
        <f t="shared" si="7"/>
        <v>01</v>
      </c>
    </row>
    <row r="109" spans="1:10" x14ac:dyDescent="0.35">
      <c r="A109">
        <v>1108</v>
      </c>
      <c r="B109" s="1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  <c r="I109">
        <f t="shared" si="6"/>
        <v>11000</v>
      </c>
      <c r="J109" t="str">
        <f t="shared" si="7"/>
        <v>01</v>
      </c>
    </row>
    <row r="110" spans="1:10" x14ac:dyDescent="0.35">
      <c r="A110">
        <v>1109</v>
      </c>
      <c r="B110" s="1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  <c r="I110">
        <f t="shared" si="6"/>
        <v>2200</v>
      </c>
      <c r="J110" t="str">
        <f t="shared" si="7"/>
        <v>01</v>
      </c>
    </row>
    <row r="111" spans="1:10" x14ac:dyDescent="0.35">
      <c r="A111">
        <v>1110</v>
      </c>
      <c r="B111" s="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  <c r="I111">
        <f t="shared" si="6"/>
        <v>32000</v>
      </c>
      <c r="J111" t="str">
        <f t="shared" si="7"/>
        <v>01</v>
      </c>
    </row>
    <row r="112" spans="1:10" x14ac:dyDescent="0.35">
      <c r="A112">
        <v>1111</v>
      </c>
      <c r="B112" s="1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  <c r="I112">
        <f t="shared" si="6"/>
        <v>94000</v>
      </c>
      <c r="J112" t="str">
        <f t="shared" si="7"/>
        <v>02</v>
      </c>
    </row>
    <row r="113" spans="1:10" x14ac:dyDescent="0.35">
      <c r="A113">
        <v>1112</v>
      </c>
      <c r="B113" s="1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  <c r="I113">
        <f t="shared" si="6"/>
        <v>177000</v>
      </c>
      <c r="J113" t="str">
        <f t="shared" si="7"/>
        <v>02</v>
      </c>
    </row>
    <row r="114" spans="1:10" x14ac:dyDescent="0.35">
      <c r="A114">
        <v>1113</v>
      </c>
      <c r="B114" s="1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  <c r="I114">
        <f t="shared" si="6"/>
        <v>1700</v>
      </c>
      <c r="J114" t="str">
        <f t="shared" si="7"/>
        <v>02</v>
      </c>
    </row>
    <row r="115" spans="1:10" x14ac:dyDescent="0.35">
      <c r="A115">
        <v>1114</v>
      </c>
      <c r="B115" s="1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  <c r="I115">
        <f t="shared" si="6"/>
        <v>2500</v>
      </c>
      <c r="J115" t="str">
        <f t="shared" si="7"/>
        <v>02</v>
      </c>
    </row>
    <row r="116" spans="1:10" x14ac:dyDescent="0.35">
      <c r="A116">
        <v>1115</v>
      </c>
      <c r="B116" s="1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  <c r="I116">
        <f t="shared" si="6"/>
        <v>12000</v>
      </c>
      <c r="J116" t="str">
        <f t="shared" si="7"/>
        <v>02</v>
      </c>
    </row>
    <row r="117" spans="1:10" x14ac:dyDescent="0.35">
      <c r="A117">
        <v>1116</v>
      </c>
      <c r="B117" s="1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  <c r="I117">
        <f t="shared" si="6"/>
        <v>8000</v>
      </c>
      <c r="J117" t="str">
        <f t="shared" si="7"/>
        <v>02</v>
      </c>
    </row>
    <row r="118" spans="1:10" x14ac:dyDescent="0.35">
      <c r="A118">
        <v>1117</v>
      </c>
      <c r="B118" s="1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  <c r="I118">
        <f t="shared" si="6"/>
        <v>6000</v>
      </c>
      <c r="J118" t="str">
        <f t="shared" si="7"/>
        <v>02</v>
      </c>
    </row>
    <row r="119" spans="1:10" x14ac:dyDescent="0.35">
      <c r="A119">
        <v>1118</v>
      </c>
      <c r="B119" s="1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  <c r="I119">
        <f t="shared" si="6"/>
        <v>60000</v>
      </c>
      <c r="J119" t="str">
        <f t="shared" si="7"/>
        <v>02</v>
      </c>
    </row>
    <row r="120" spans="1:10" x14ac:dyDescent="0.35">
      <c r="A120">
        <v>1119</v>
      </c>
      <c r="B120" s="1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  <c r="I120">
        <f t="shared" si="6"/>
        <v>45000</v>
      </c>
      <c r="J120" t="str">
        <f t="shared" si="7"/>
        <v>02</v>
      </c>
    </row>
    <row r="121" spans="1:10" x14ac:dyDescent="0.35">
      <c r="A121">
        <v>1120</v>
      </c>
      <c r="B121" s="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  <c r="I121">
        <f t="shared" si="6"/>
        <v>4000</v>
      </c>
      <c r="J121" t="str">
        <f t="shared" si="7"/>
        <v>02</v>
      </c>
    </row>
    <row r="122" spans="1:10" x14ac:dyDescent="0.35">
      <c r="A122">
        <v>1121</v>
      </c>
      <c r="B122" s="1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  <c r="I122">
        <f t="shared" si="6"/>
        <v>42000</v>
      </c>
      <c r="J122" t="str">
        <f t="shared" si="7"/>
        <v>01</v>
      </c>
    </row>
    <row r="123" spans="1:10" x14ac:dyDescent="0.35">
      <c r="A123">
        <v>1122</v>
      </c>
      <c r="B123" s="1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  <c r="I123">
        <f t="shared" si="6"/>
        <v>17500</v>
      </c>
      <c r="J123" t="str">
        <f t="shared" si="7"/>
        <v>01</v>
      </c>
    </row>
    <row r="124" spans="1:10" x14ac:dyDescent="0.35">
      <c r="A124">
        <v>1123</v>
      </c>
      <c r="B124" s="1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  <c r="I124">
        <f t="shared" si="6"/>
        <v>7800</v>
      </c>
      <c r="J124" t="str">
        <f t="shared" si="7"/>
        <v>01</v>
      </c>
    </row>
    <row r="125" spans="1:10" x14ac:dyDescent="0.35">
      <c r="A125">
        <v>1124</v>
      </c>
      <c r="B125" s="1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  <c r="I125">
        <f t="shared" si="6"/>
        <v>232000</v>
      </c>
      <c r="J125" t="str">
        <f t="shared" si="7"/>
        <v>01</v>
      </c>
    </row>
    <row r="126" spans="1:10" x14ac:dyDescent="0.35">
      <c r="A126">
        <v>1125</v>
      </c>
      <c r="B126" s="1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  <c r="I126">
        <f t="shared" si="6"/>
        <v>22000</v>
      </c>
      <c r="J126" t="str">
        <f t="shared" si="7"/>
        <v>01</v>
      </c>
    </row>
    <row r="127" spans="1:10" x14ac:dyDescent="0.35">
      <c r="A127">
        <v>1126</v>
      </c>
      <c r="B127" s="1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  <c r="I127">
        <f t="shared" si="6"/>
        <v>13200</v>
      </c>
      <c r="J127" t="str">
        <f t="shared" si="7"/>
        <v>01</v>
      </c>
    </row>
    <row r="128" spans="1:10" x14ac:dyDescent="0.35">
      <c r="A128">
        <v>1127</v>
      </c>
      <c r="B128" s="1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  <c r="I128">
        <f t="shared" si="6"/>
        <v>165000</v>
      </c>
      <c r="J128" t="str">
        <f t="shared" si="7"/>
        <v>01</v>
      </c>
    </row>
    <row r="129" spans="1:10" x14ac:dyDescent="0.35">
      <c r="A129">
        <v>1128</v>
      </c>
      <c r="B129" s="1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  <c r="I129">
        <f t="shared" si="6"/>
        <v>3500</v>
      </c>
      <c r="J129" t="str">
        <f t="shared" si="7"/>
        <v>01</v>
      </c>
    </row>
    <row r="130" spans="1:10" x14ac:dyDescent="0.35">
      <c r="A130">
        <v>1129</v>
      </c>
      <c r="B130" s="1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  <c r="I130">
        <f t="shared" si="6"/>
        <v>22000</v>
      </c>
      <c r="J130" t="str">
        <f t="shared" si="7"/>
        <v>01</v>
      </c>
    </row>
    <row r="131" spans="1:10" x14ac:dyDescent="0.35">
      <c r="A131">
        <v>1130</v>
      </c>
      <c r="B131" s="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  <c r="I131">
        <f t="shared" ref="I131:I194" si="8">H131*G131</f>
        <v>25000</v>
      </c>
      <c r="J131" t="str">
        <f t="shared" ref="J131:J194" si="9">TEXT(B131,"MM")</f>
        <v>01</v>
      </c>
    </row>
    <row r="132" spans="1:10" x14ac:dyDescent="0.35">
      <c r="A132">
        <v>1131</v>
      </c>
      <c r="B132" s="1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  <c r="I132">
        <f t="shared" si="8"/>
        <v>24000</v>
      </c>
      <c r="J132" t="str">
        <f t="shared" si="9"/>
        <v>02</v>
      </c>
    </row>
    <row r="133" spans="1:10" x14ac:dyDescent="0.35">
      <c r="A133">
        <v>1132</v>
      </c>
      <c r="B133" s="1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  <c r="I133">
        <f t="shared" si="8"/>
        <v>6000</v>
      </c>
      <c r="J133" t="str">
        <f t="shared" si="9"/>
        <v>02</v>
      </c>
    </row>
    <row r="134" spans="1:10" x14ac:dyDescent="0.35">
      <c r="A134">
        <v>1133</v>
      </c>
      <c r="B134" s="1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  <c r="I134">
        <f t="shared" si="8"/>
        <v>6000</v>
      </c>
      <c r="J134" t="str">
        <f t="shared" si="9"/>
        <v>02</v>
      </c>
    </row>
    <row r="135" spans="1:10" x14ac:dyDescent="0.35">
      <c r="A135">
        <v>1134</v>
      </c>
      <c r="B135" s="1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  <c r="I135">
        <f t="shared" si="8"/>
        <v>60000</v>
      </c>
      <c r="J135" t="str">
        <f t="shared" si="9"/>
        <v>02</v>
      </c>
    </row>
    <row r="136" spans="1:10" x14ac:dyDescent="0.35">
      <c r="A136">
        <v>1135</v>
      </c>
      <c r="B136" s="1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  <c r="I136">
        <f t="shared" si="8"/>
        <v>45000</v>
      </c>
      <c r="J136" t="str">
        <f t="shared" si="9"/>
        <v>02</v>
      </c>
    </row>
    <row r="137" spans="1:10" x14ac:dyDescent="0.35">
      <c r="A137">
        <v>1136</v>
      </c>
      <c r="B137" s="1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  <c r="I137">
        <f t="shared" si="8"/>
        <v>3200</v>
      </c>
      <c r="J137" t="str">
        <f t="shared" si="9"/>
        <v>02</v>
      </c>
    </row>
    <row r="138" spans="1:10" x14ac:dyDescent="0.35">
      <c r="A138">
        <v>1137</v>
      </c>
      <c r="B138" s="1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  <c r="I138">
        <f t="shared" si="8"/>
        <v>42000</v>
      </c>
      <c r="J138" t="str">
        <f t="shared" si="9"/>
        <v>02</v>
      </c>
    </row>
    <row r="139" spans="1:10" x14ac:dyDescent="0.35">
      <c r="A139">
        <v>1138</v>
      </c>
      <c r="B139" s="1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  <c r="I139">
        <f t="shared" si="8"/>
        <v>3500</v>
      </c>
      <c r="J139" t="str">
        <f t="shared" si="9"/>
        <v>02</v>
      </c>
    </row>
    <row r="140" spans="1:10" x14ac:dyDescent="0.35">
      <c r="A140">
        <v>1139</v>
      </c>
      <c r="B140" s="1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  <c r="I140">
        <f t="shared" si="8"/>
        <v>2600</v>
      </c>
      <c r="J140" t="str">
        <f t="shared" si="9"/>
        <v>02</v>
      </c>
    </row>
    <row r="141" spans="1:10" x14ac:dyDescent="0.35">
      <c r="A141">
        <v>1140</v>
      </c>
      <c r="B141" s="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  <c r="I141">
        <f t="shared" si="8"/>
        <v>290000</v>
      </c>
      <c r="J141" t="str">
        <f t="shared" si="9"/>
        <v>02</v>
      </c>
    </row>
    <row r="142" spans="1:10" x14ac:dyDescent="0.35">
      <c r="A142">
        <v>1141</v>
      </c>
      <c r="B142" s="1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  <c r="I142">
        <f t="shared" si="8"/>
        <v>22000</v>
      </c>
      <c r="J142" t="str">
        <f t="shared" si="9"/>
        <v>01</v>
      </c>
    </row>
    <row r="143" spans="1:10" x14ac:dyDescent="0.35">
      <c r="A143">
        <v>1142</v>
      </c>
      <c r="B143" s="1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  <c r="I143">
        <f t="shared" si="8"/>
        <v>11000</v>
      </c>
      <c r="J143" t="str">
        <f t="shared" si="9"/>
        <v>01</v>
      </c>
    </row>
    <row r="144" spans="1:10" x14ac:dyDescent="0.35">
      <c r="A144">
        <v>1143</v>
      </c>
      <c r="B144" s="1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  <c r="I144">
        <f t="shared" si="8"/>
        <v>9600</v>
      </c>
      <c r="J144" t="str">
        <f t="shared" si="9"/>
        <v>01</v>
      </c>
    </row>
    <row r="145" spans="1:10" x14ac:dyDescent="0.35">
      <c r="A145">
        <v>1144</v>
      </c>
      <c r="B145" s="1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  <c r="I145">
        <f t="shared" si="8"/>
        <v>188000</v>
      </c>
      <c r="J145" t="str">
        <f t="shared" si="9"/>
        <v>01</v>
      </c>
    </row>
    <row r="146" spans="1:10" x14ac:dyDescent="0.35">
      <c r="A146">
        <v>1145</v>
      </c>
      <c r="B146" s="1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  <c r="I146">
        <f t="shared" si="8"/>
        <v>118000</v>
      </c>
      <c r="J146" t="str">
        <f t="shared" si="9"/>
        <v>01</v>
      </c>
    </row>
    <row r="147" spans="1:10" x14ac:dyDescent="0.35">
      <c r="A147">
        <v>1146</v>
      </c>
      <c r="B147" s="1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  <c r="I147">
        <f t="shared" si="8"/>
        <v>5100</v>
      </c>
      <c r="J147" t="str">
        <f t="shared" si="9"/>
        <v>01</v>
      </c>
    </row>
    <row r="148" spans="1:10" x14ac:dyDescent="0.35">
      <c r="A148">
        <v>1147</v>
      </c>
      <c r="B148" s="1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  <c r="I148">
        <f t="shared" si="8"/>
        <v>10500</v>
      </c>
      <c r="J148" t="str">
        <f t="shared" si="9"/>
        <v>01</v>
      </c>
    </row>
    <row r="149" spans="1:10" x14ac:dyDescent="0.35">
      <c r="A149">
        <v>1148</v>
      </c>
      <c r="B149" s="1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  <c r="I149">
        <f t="shared" si="8"/>
        <v>2600</v>
      </c>
      <c r="J149" t="str">
        <f t="shared" si="9"/>
        <v>01</v>
      </c>
    </row>
    <row r="150" spans="1:10" x14ac:dyDescent="0.35">
      <c r="A150">
        <v>1149</v>
      </c>
      <c r="B150" s="1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  <c r="I150">
        <f t="shared" si="8"/>
        <v>58000</v>
      </c>
      <c r="J150" t="str">
        <f t="shared" si="9"/>
        <v>01</v>
      </c>
    </row>
    <row r="151" spans="1:10" x14ac:dyDescent="0.35">
      <c r="A151">
        <v>1150</v>
      </c>
      <c r="B151" s="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  <c r="I151">
        <f t="shared" si="8"/>
        <v>110000</v>
      </c>
      <c r="J151" t="str">
        <f t="shared" si="9"/>
        <v>01</v>
      </c>
    </row>
    <row r="152" spans="1:10" x14ac:dyDescent="0.35">
      <c r="A152">
        <v>1151</v>
      </c>
      <c r="B152" s="1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  <c r="I152">
        <f t="shared" si="8"/>
        <v>4400</v>
      </c>
      <c r="J152" t="str">
        <f t="shared" si="9"/>
        <v>02</v>
      </c>
    </row>
    <row r="153" spans="1:10" x14ac:dyDescent="0.35">
      <c r="A153">
        <v>1152</v>
      </c>
      <c r="B153" s="1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  <c r="I153">
        <f t="shared" si="8"/>
        <v>9600</v>
      </c>
      <c r="J153" t="str">
        <f t="shared" si="9"/>
        <v>02</v>
      </c>
    </row>
    <row r="154" spans="1:10" x14ac:dyDescent="0.35">
      <c r="A154">
        <v>1153</v>
      </c>
      <c r="B154" s="1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  <c r="I154">
        <f t="shared" si="8"/>
        <v>94000</v>
      </c>
      <c r="J154" t="str">
        <f t="shared" si="9"/>
        <v>02</v>
      </c>
    </row>
    <row r="155" spans="1:10" x14ac:dyDescent="0.35">
      <c r="A155">
        <v>1154</v>
      </c>
      <c r="B155" s="1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  <c r="I155">
        <f t="shared" si="8"/>
        <v>59000</v>
      </c>
      <c r="J155" t="str">
        <f t="shared" si="9"/>
        <v>02</v>
      </c>
    </row>
    <row r="156" spans="1:10" x14ac:dyDescent="0.35">
      <c r="A156">
        <v>1155</v>
      </c>
      <c r="B156" s="1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  <c r="I156">
        <f t="shared" si="8"/>
        <v>850</v>
      </c>
      <c r="J156" t="str">
        <f t="shared" si="9"/>
        <v>02</v>
      </c>
    </row>
    <row r="157" spans="1:10" x14ac:dyDescent="0.35">
      <c r="A157">
        <v>1156</v>
      </c>
      <c r="B157" s="1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  <c r="I157">
        <f t="shared" si="8"/>
        <v>10000</v>
      </c>
      <c r="J157" t="str">
        <f t="shared" si="9"/>
        <v>02</v>
      </c>
    </row>
    <row r="158" spans="1:10" x14ac:dyDescent="0.35">
      <c r="A158">
        <v>1157</v>
      </c>
      <c r="B158" s="1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  <c r="I158">
        <f t="shared" si="8"/>
        <v>24000</v>
      </c>
      <c r="J158" t="str">
        <f t="shared" si="9"/>
        <v>02</v>
      </c>
    </row>
    <row r="159" spans="1:10" x14ac:dyDescent="0.35">
      <c r="A159">
        <v>1158</v>
      </c>
      <c r="B159" s="1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  <c r="I159">
        <f t="shared" si="8"/>
        <v>2000</v>
      </c>
      <c r="J159" t="str">
        <f t="shared" si="9"/>
        <v>02</v>
      </c>
    </row>
    <row r="160" spans="1:10" x14ac:dyDescent="0.35">
      <c r="A160">
        <v>1159</v>
      </c>
      <c r="B160" s="1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  <c r="I160">
        <f t="shared" si="8"/>
        <v>3000</v>
      </c>
      <c r="J160" t="str">
        <f t="shared" si="9"/>
        <v>02</v>
      </c>
    </row>
    <row r="161" spans="1:10" x14ac:dyDescent="0.35">
      <c r="A161">
        <v>1160</v>
      </c>
      <c r="B161" s="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  <c r="I161">
        <f t="shared" si="8"/>
        <v>300000</v>
      </c>
      <c r="J161" t="str">
        <f t="shared" si="9"/>
        <v>02</v>
      </c>
    </row>
    <row r="162" spans="1:10" x14ac:dyDescent="0.35">
      <c r="A162">
        <v>1161</v>
      </c>
      <c r="B162" s="1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  <c r="I162">
        <f t="shared" si="8"/>
        <v>90000</v>
      </c>
      <c r="J162" t="str">
        <f t="shared" si="9"/>
        <v>01</v>
      </c>
    </row>
    <row r="163" spans="1:10" x14ac:dyDescent="0.35">
      <c r="A163">
        <v>1162</v>
      </c>
      <c r="B163" s="1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  <c r="I163">
        <f t="shared" si="8"/>
        <v>4000</v>
      </c>
      <c r="J163" t="str">
        <f t="shared" si="9"/>
        <v>01</v>
      </c>
    </row>
    <row r="164" spans="1:10" x14ac:dyDescent="0.35">
      <c r="A164">
        <v>1163</v>
      </c>
      <c r="B164" s="1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  <c r="I164">
        <f t="shared" si="8"/>
        <v>63000</v>
      </c>
      <c r="J164" t="str">
        <f t="shared" si="9"/>
        <v>01</v>
      </c>
    </row>
    <row r="165" spans="1:10" x14ac:dyDescent="0.35">
      <c r="A165">
        <v>1164</v>
      </c>
      <c r="B165" s="1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  <c r="I165">
        <f t="shared" si="8"/>
        <v>14000</v>
      </c>
      <c r="J165" t="str">
        <f t="shared" si="9"/>
        <v>01</v>
      </c>
    </row>
    <row r="166" spans="1:10" x14ac:dyDescent="0.35">
      <c r="A166">
        <v>1165</v>
      </c>
      <c r="B166" s="1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  <c r="I166">
        <f t="shared" si="8"/>
        <v>5200</v>
      </c>
      <c r="J166" t="str">
        <f t="shared" si="9"/>
        <v>01</v>
      </c>
    </row>
    <row r="167" spans="1:10" x14ac:dyDescent="0.35">
      <c r="A167">
        <v>1166</v>
      </c>
      <c r="B167" s="1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  <c r="I167">
        <f t="shared" si="8"/>
        <v>348000</v>
      </c>
      <c r="J167" t="str">
        <f t="shared" si="9"/>
        <v>01</v>
      </c>
    </row>
    <row r="168" spans="1:10" x14ac:dyDescent="0.35">
      <c r="A168">
        <v>1167</v>
      </c>
      <c r="B168" s="1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  <c r="I168">
        <f t="shared" si="8"/>
        <v>33000</v>
      </c>
      <c r="J168" t="str">
        <f t="shared" si="9"/>
        <v>01</v>
      </c>
    </row>
    <row r="169" spans="1:10" x14ac:dyDescent="0.35">
      <c r="A169">
        <v>1168</v>
      </c>
      <c r="B169" s="1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  <c r="I169">
        <f t="shared" si="8"/>
        <v>2200</v>
      </c>
      <c r="J169" t="str">
        <f t="shared" si="9"/>
        <v>01</v>
      </c>
    </row>
    <row r="170" spans="1:10" x14ac:dyDescent="0.35">
      <c r="A170">
        <v>1169</v>
      </c>
      <c r="B170" s="1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  <c r="I170">
        <f t="shared" si="8"/>
        <v>55000</v>
      </c>
      <c r="J170" t="str">
        <f t="shared" si="9"/>
        <v>01</v>
      </c>
    </row>
    <row r="171" spans="1:10" x14ac:dyDescent="0.35">
      <c r="A171">
        <v>1170</v>
      </c>
      <c r="B171" s="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  <c r="I171">
        <f t="shared" si="8"/>
        <v>35000</v>
      </c>
      <c r="J171" t="str">
        <f t="shared" si="9"/>
        <v>01</v>
      </c>
    </row>
    <row r="172" spans="1:10" x14ac:dyDescent="0.35">
      <c r="A172">
        <v>1171</v>
      </c>
      <c r="B172" s="1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  <c r="I172">
        <f t="shared" si="8"/>
        <v>44000</v>
      </c>
      <c r="J172" t="str">
        <f t="shared" si="9"/>
        <v>02</v>
      </c>
    </row>
    <row r="173" spans="1:10" x14ac:dyDescent="0.35">
      <c r="A173">
        <v>1172</v>
      </c>
      <c r="B173" s="1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  <c r="I173">
        <f t="shared" si="8"/>
        <v>7500</v>
      </c>
      <c r="J173" t="str">
        <f t="shared" si="9"/>
        <v>02</v>
      </c>
    </row>
    <row r="174" spans="1:10" x14ac:dyDescent="0.35">
      <c r="A174">
        <v>1173</v>
      </c>
      <c r="B174" s="1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  <c r="I174">
        <f t="shared" si="8"/>
        <v>24000</v>
      </c>
      <c r="J174" t="str">
        <f t="shared" si="9"/>
        <v>02</v>
      </c>
    </row>
    <row r="175" spans="1:10" x14ac:dyDescent="0.35">
      <c r="A175">
        <v>1174</v>
      </c>
      <c r="B175" s="1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  <c r="I175">
        <f t="shared" si="8"/>
        <v>2000</v>
      </c>
      <c r="J175" t="str">
        <f t="shared" si="9"/>
        <v>02</v>
      </c>
    </row>
    <row r="176" spans="1:10" x14ac:dyDescent="0.35">
      <c r="A176">
        <v>1175</v>
      </c>
      <c r="B176" s="1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  <c r="I176">
        <f t="shared" si="8"/>
        <v>3000</v>
      </c>
      <c r="J176" t="str">
        <f t="shared" si="9"/>
        <v>02</v>
      </c>
    </row>
    <row r="177" spans="1:10" x14ac:dyDescent="0.35">
      <c r="A177">
        <v>1176</v>
      </c>
      <c r="B177" s="1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  <c r="I177">
        <f t="shared" si="8"/>
        <v>240000</v>
      </c>
      <c r="J177" t="str">
        <f t="shared" si="9"/>
        <v>02</v>
      </c>
    </row>
    <row r="178" spans="1:10" x14ac:dyDescent="0.35">
      <c r="A178">
        <v>1177</v>
      </c>
      <c r="B178" s="1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  <c r="I178">
        <f t="shared" si="8"/>
        <v>90000</v>
      </c>
      <c r="J178" t="str">
        <f t="shared" si="9"/>
        <v>02</v>
      </c>
    </row>
    <row r="179" spans="1:10" x14ac:dyDescent="0.35">
      <c r="A179">
        <v>1178</v>
      </c>
      <c r="B179" s="1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  <c r="I179">
        <f t="shared" si="8"/>
        <v>800</v>
      </c>
      <c r="J179" t="str">
        <f t="shared" si="9"/>
        <v>02</v>
      </c>
    </row>
    <row r="180" spans="1:10" x14ac:dyDescent="0.35">
      <c r="A180">
        <v>1179</v>
      </c>
      <c r="B180" s="1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  <c r="I180">
        <f t="shared" si="8"/>
        <v>21000</v>
      </c>
      <c r="J180" t="str">
        <f t="shared" si="9"/>
        <v>02</v>
      </c>
    </row>
    <row r="181" spans="1:10" x14ac:dyDescent="0.35">
      <c r="A181">
        <v>1180</v>
      </c>
      <c r="B181" s="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  <c r="I181">
        <f t="shared" si="8"/>
        <v>17500</v>
      </c>
      <c r="J181" t="str">
        <f t="shared" si="9"/>
        <v>02</v>
      </c>
    </row>
    <row r="182" spans="1:10" x14ac:dyDescent="0.35">
      <c r="A182">
        <v>1181</v>
      </c>
      <c r="B182" s="1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  <c r="I182">
        <f t="shared" si="8"/>
        <v>5200</v>
      </c>
      <c r="J182" t="str">
        <f t="shared" si="9"/>
        <v>01</v>
      </c>
    </row>
    <row r="183" spans="1:10" x14ac:dyDescent="0.35">
      <c r="A183">
        <v>1182</v>
      </c>
      <c r="B183" s="1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  <c r="I183">
        <f t="shared" si="8"/>
        <v>290000</v>
      </c>
      <c r="J183" t="str">
        <f t="shared" si="9"/>
        <v>01</v>
      </c>
    </row>
    <row r="184" spans="1:10" x14ac:dyDescent="0.35">
      <c r="A184">
        <v>1183</v>
      </c>
      <c r="B184" s="1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  <c r="I184">
        <f t="shared" si="8"/>
        <v>33000</v>
      </c>
      <c r="J184" t="str">
        <f t="shared" si="9"/>
        <v>01</v>
      </c>
    </row>
    <row r="185" spans="1:10" x14ac:dyDescent="0.35">
      <c r="A185">
        <v>1184</v>
      </c>
      <c r="B185" s="1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  <c r="I185">
        <f t="shared" si="8"/>
        <v>8800</v>
      </c>
      <c r="J185" t="str">
        <f t="shared" si="9"/>
        <v>01</v>
      </c>
    </row>
    <row r="186" spans="1:10" x14ac:dyDescent="0.35">
      <c r="A186">
        <v>1185</v>
      </c>
      <c r="B186" s="1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  <c r="I186">
        <f t="shared" si="8"/>
        <v>6400</v>
      </c>
      <c r="J186" t="str">
        <f t="shared" si="9"/>
        <v>01</v>
      </c>
    </row>
    <row r="187" spans="1:10" x14ac:dyDescent="0.35">
      <c r="A187">
        <v>1186</v>
      </c>
      <c r="B187" s="1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  <c r="I187">
        <f t="shared" si="8"/>
        <v>282000</v>
      </c>
      <c r="J187" t="str">
        <f t="shared" si="9"/>
        <v>01</v>
      </c>
    </row>
    <row r="188" spans="1:10" x14ac:dyDescent="0.35">
      <c r="A188">
        <v>1187</v>
      </c>
      <c r="B188" s="1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  <c r="I188">
        <f t="shared" si="8"/>
        <v>177000</v>
      </c>
      <c r="J188" t="str">
        <f t="shared" si="9"/>
        <v>01</v>
      </c>
    </row>
    <row r="189" spans="1:10" x14ac:dyDescent="0.35">
      <c r="A189">
        <v>1188</v>
      </c>
      <c r="B189" s="1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  <c r="I189">
        <f t="shared" si="8"/>
        <v>850</v>
      </c>
      <c r="J189" t="str">
        <f t="shared" si="9"/>
        <v>01</v>
      </c>
    </row>
    <row r="190" spans="1:10" x14ac:dyDescent="0.35">
      <c r="A190">
        <v>1189</v>
      </c>
      <c r="B190" s="1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  <c r="I190">
        <f t="shared" si="8"/>
        <v>3500</v>
      </c>
      <c r="J190" t="str">
        <f t="shared" si="9"/>
        <v>01</v>
      </c>
    </row>
    <row r="191" spans="1:10" x14ac:dyDescent="0.35">
      <c r="A191">
        <v>1190</v>
      </c>
      <c r="B191" s="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  <c r="I191">
        <f t="shared" si="8"/>
        <v>26000</v>
      </c>
      <c r="J191" t="str">
        <f t="shared" si="9"/>
        <v>01</v>
      </c>
    </row>
    <row r="192" spans="1:10" x14ac:dyDescent="0.35">
      <c r="A192">
        <v>1191</v>
      </c>
      <c r="B192" s="1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  <c r="I192">
        <f t="shared" si="8"/>
        <v>116000</v>
      </c>
      <c r="J192" t="str">
        <f t="shared" si="9"/>
        <v>02</v>
      </c>
    </row>
    <row r="193" spans="1:10" x14ac:dyDescent="0.35">
      <c r="A193">
        <v>1192</v>
      </c>
      <c r="B193" s="1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  <c r="I193">
        <f t="shared" si="8"/>
        <v>33000</v>
      </c>
      <c r="J193" t="str">
        <f t="shared" si="9"/>
        <v>02</v>
      </c>
    </row>
    <row r="194" spans="1:10" x14ac:dyDescent="0.35">
      <c r="A194">
        <v>1193</v>
      </c>
      <c r="B194" s="1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  <c r="I194">
        <f t="shared" si="8"/>
        <v>4400</v>
      </c>
      <c r="J194" t="str">
        <f t="shared" si="9"/>
        <v>02</v>
      </c>
    </row>
    <row r="195" spans="1:10" x14ac:dyDescent="0.35">
      <c r="A195">
        <v>1194</v>
      </c>
      <c r="B195" s="1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  <c r="I195">
        <f t="shared" ref="I195:I258" si="10">H195*G195</f>
        <v>3200</v>
      </c>
      <c r="J195" t="str">
        <f t="shared" ref="J195:J258" si="11">TEXT(B195,"MM")</f>
        <v>02</v>
      </c>
    </row>
    <row r="196" spans="1:10" x14ac:dyDescent="0.35">
      <c r="A196">
        <v>1195</v>
      </c>
      <c r="B196" s="1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  <c r="I196">
        <f t="shared" si="10"/>
        <v>47000</v>
      </c>
      <c r="J196" t="str">
        <f t="shared" si="11"/>
        <v>02</v>
      </c>
    </row>
    <row r="197" spans="1:10" x14ac:dyDescent="0.35">
      <c r="A197">
        <v>1196</v>
      </c>
      <c r="B197" s="1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  <c r="I197">
        <f t="shared" si="10"/>
        <v>236000</v>
      </c>
      <c r="J197" t="str">
        <f t="shared" si="11"/>
        <v>02</v>
      </c>
    </row>
    <row r="198" spans="1:10" x14ac:dyDescent="0.35">
      <c r="A198">
        <v>1197</v>
      </c>
      <c r="B198" s="1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  <c r="I198">
        <f t="shared" si="10"/>
        <v>1700</v>
      </c>
      <c r="J198" t="str">
        <f t="shared" si="11"/>
        <v>02</v>
      </c>
    </row>
    <row r="199" spans="1:10" x14ac:dyDescent="0.35">
      <c r="A199">
        <v>1198</v>
      </c>
      <c r="B199" s="1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  <c r="I199">
        <f t="shared" si="10"/>
        <v>2500</v>
      </c>
      <c r="J199" t="str">
        <f t="shared" si="11"/>
        <v>02</v>
      </c>
    </row>
    <row r="200" spans="1:10" x14ac:dyDescent="0.35">
      <c r="A200">
        <v>1199</v>
      </c>
      <c r="B200" s="1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  <c r="I200">
        <f t="shared" si="10"/>
        <v>12000</v>
      </c>
      <c r="J200" t="str">
        <f t="shared" si="11"/>
        <v>02</v>
      </c>
    </row>
    <row r="201" spans="1:10" x14ac:dyDescent="0.35">
      <c r="A201">
        <v>1200</v>
      </c>
      <c r="B201" s="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  <c r="I201">
        <f t="shared" si="10"/>
        <v>10000</v>
      </c>
      <c r="J201" t="str">
        <f t="shared" si="11"/>
        <v>02</v>
      </c>
    </row>
    <row r="202" spans="1:10" x14ac:dyDescent="0.35">
      <c r="A202">
        <v>1201</v>
      </c>
      <c r="B202" s="1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  <c r="I202">
        <f t="shared" si="10"/>
        <v>6000</v>
      </c>
      <c r="J202" t="str">
        <f t="shared" si="11"/>
        <v>01</v>
      </c>
    </row>
    <row r="203" spans="1:10" x14ac:dyDescent="0.35">
      <c r="A203">
        <v>1202</v>
      </c>
      <c r="B203" s="1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  <c r="I203">
        <f t="shared" si="10"/>
        <v>300000</v>
      </c>
      <c r="J203" t="str">
        <f t="shared" si="11"/>
        <v>01</v>
      </c>
    </row>
    <row r="204" spans="1:10" x14ac:dyDescent="0.35">
      <c r="A204">
        <v>1203</v>
      </c>
      <c r="B204" s="1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  <c r="I204">
        <f t="shared" si="10"/>
        <v>135000</v>
      </c>
      <c r="J204" t="str">
        <f t="shared" si="11"/>
        <v>01</v>
      </c>
    </row>
    <row r="205" spans="1:10" x14ac:dyDescent="0.35">
      <c r="A205">
        <v>1204</v>
      </c>
      <c r="B205" s="1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  <c r="I205">
        <f t="shared" si="10"/>
        <v>3200</v>
      </c>
      <c r="J205" t="str">
        <f t="shared" si="11"/>
        <v>01</v>
      </c>
    </row>
    <row r="206" spans="1:10" x14ac:dyDescent="0.35">
      <c r="A206">
        <v>1205</v>
      </c>
      <c r="B206" s="1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  <c r="I206">
        <f t="shared" si="10"/>
        <v>42000</v>
      </c>
      <c r="J206" t="str">
        <f t="shared" si="11"/>
        <v>01</v>
      </c>
    </row>
    <row r="207" spans="1:10" x14ac:dyDescent="0.35">
      <c r="A207">
        <v>1206</v>
      </c>
      <c r="B207" s="1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  <c r="I207">
        <f t="shared" si="10"/>
        <v>21000</v>
      </c>
      <c r="J207" t="str">
        <f t="shared" si="11"/>
        <v>01</v>
      </c>
    </row>
    <row r="208" spans="1:10" x14ac:dyDescent="0.35">
      <c r="A208">
        <v>1207</v>
      </c>
      <c r="B208" s="1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  <c r="I208">
        <f t="shared" si="10"/>
        <v>7800</v>
      </c>
      <c r="J208" t="str">
        <f t="shared" si="11"/>
        <v>01</v>
      </c>
    </row>
    <row r="209" spans="1:10" x14ac:dyDescent="0.35">
      <c r="A209">
        <v>1208</v>
      </c>
      <c r="B209" s="1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  <c r="I209">
        <f t="shared" si="10"/>
        <v>58000</v>
      </c>
      <c r="J209" t="str">
        <f t="shared" si="11"/>
        <v>01</v>
      </c>
    </row>
    <row r="210" spans="1:10" x14ac:dyDescent="0.35">
      <c r="A210">
        <v>1209</v>
      </c>
      <c r="B210" s="1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  <c r="I210">
        <f t="shared" si="10"/>
        <v>11000</v>
      </c>
      <c r="J210" t="str">
        <f t="shared" si="11"/>
        <v>01</v>
      </c>
    </row>
    <row r="211" spans="1:10" x14ac:dyDescent="0.35">
      <c r="A211">
        <v>1210</v>
      </c>
      <c r="B211" s="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  <c r="I211">
        <f t="shared" si="10"/>
        <v>22000</v>
      </c>
      <c r="J211" t="str">
        <f t="shared" si="11"/>
        <v>01</v>
      </c>
    </row>
    <row r="212" spans="1:10" x14ac:dyDescent="0.35">
      <c r="A212">
        <v>1211</v>
      </c>
      <c r="B212" s="1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  <c r="I212">
        <f t="shared" si="10"/>
        <v>110000</v>
      </c>
      <c r="J212" t="str">
        <f t="shared" si="11"/>
        <v>02</v>
      </c>
    </row>
    <row r="213" spans="1:10" x14ac:dyDescent="0.35">
      <c r="A213">
        <v>1212</v>
      </c>
      <c r="B213" s="1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  <c r="I213">
        <f t="shared" si="10"/>
        <v>10500</v>
      </c>
      <c r="J213" t="str">
        <f t="shared" si="11"/>
        <v>02</v>
      </c>
    </row>
    <row r="214" spans="1:10" x14ac:dyDescent="0.35">
      <c r="A214">
        <v>1213</v>
      </c>
      <c r="B214" s="1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  <c r="I214">
        <f t="shared" si="10"/>
        <v>44000</v>
      </c>
      <c r="J214" t="str">
        <f t="shared" si="11"/>
        <v>02</v>
      </c>
    </row>
    <row r="215" spans="1:10" x14ac:dyDescent="0.35">
      <c r="A215">
        <v>1214</v>
      </c>
      <c r="B215" s="1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  <c r="I215">
        <f t="shared" si="10"/>
        <v>2500</v>
      </c>
      <c r="J215" t="str">
        <f t="shared" si="11"/>
        <v>02</v>
      </c>
    </row>
    <row r="216" spans="1:10" x14ac:dyDescent="0.35">
      <c r="A216">
        <v>1215</v>
      </c>
      <c r="B216" s="1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  <c r="I216">
        <f t="shared" si="10"/>
        <v>12000</v>
      </c>
      <c r="J216" t="str">
        <f t="shared" si="11"/>
        <v>02</v>
      </c>
    </row>
    <row r="217" spans="1:10" x14ac:dyDescent="0.35">
      <c r="A217">
        <v>1216</v>
      </c>
      <c r="B217" s="1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  <c r="I217">
        <f t="shared" si="10"/>
        <v>8000</v>
      </c>
      <c r="J217" t="str">
        <f t="shared" si="11"/>
        <v>02</v>
      </c>
    </row>
    <row r="218" spans="1:10" x14ac:dyDescent="0.35">
      <c r="A218">
        <v>1217</v>
      </c>
      <c r="B218" s="1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  <c r="I218">
        <f t="shared" si="10"/>
        <v>6000</v>
      </c>
      <c r="J218" t="str">
        <f t="shared" si="11"/>
        <v>02</v>
      </c>
    </row>
    <row r="219" spans="1:10" x14ac:dyDescent="0.35">
      <c r="A219">
        <v>1218</v>
      </c>
      <c r="B219" s="1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  <c r="I219">
        <f t="shared" si="10"/>
        <v>60000</v>
      </c>
      <c r="J219" t="str">
        <f t="shared" si="11"/>
        <v>02</v>
      </c>
    </row>
    <row r="220" spans="1:10" x14ac:dyDescent="0.35">
      <c r="A220">
        <v>1219</v>
      </c>
      <c r="B220" s="1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  <c r="I220">
        <f t="shared" si="10"/>
        <v>45000</v>
      </c>
      <c r="J220" t="str">
        <f t="shared" si="11"/>
        <v>02</v>
      </c>
    </row>
    <row r="221" spans="1:10" x14ac:dyDescent="0.35">
      <c r="A221">
        <v>1220</v>
      </c>
      <c r="B221" s="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  <c r="I221">
        <f t="shared" si="10"/>
        <v>4000</v>
      </c>
      <c r="J221" t="str">
        <f t="shared" si="11"/>
        <v>02</v>
      </c>
    </row>
    <row r="222" spans="1:10" x14ac:dyDescent="0.35">
      <c r="A222">
        <v>1221</v>
      </c>
      <c r="B222" s="1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  <c r="I222">
        <f t="shared" si="10"/>
        <v>42000</v>
      </c>
      <c r="J222" t="str">
        <f t="shared" si="11"/>
        <v>01</v>
      </c>
    </row>
    <row r="223" spans="1:10" x14ac:dyDescent="0.35">
      <c r="A223">
        <v>1222</v>
      </c>
      <c r="B223" s="1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  <c r="I223">
        <f t="shared" si="10"/>
        <v>17500</v>
      </c>
      <c r="J223" t="str">
        <f t="shared" si="11"/>
        <v>01</v>
      </c>
    </row>
    <row r="224" spans="1:10" x14ac:dyDescent="0.35">
      <c r="A224">
        <v>1223</v>
      </c>
      <c r="B224" s="1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  <c r="I224">
        <f t="shared" si="10"/>
        <v>7800</v>
      </c>
      <c r="J224" t="str">
        <f t="shared" si="11"/>
        <v>01</v>
      </c>
    </row>
    <row r="225" spans="1:10" x14ac:dyDescent="0.35">
      <c r="A225">
        <v>1224</v>
      </c>
      <c r="B225" s="1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  <c r="I225">
        <f t="shared" si="10"/>
        <v>232000</v>
      </c>
      <c r="J225" t="str">
        <f t="shared" si="11"/>
        <v>01</v>
      </c>
    </row>
    <row r="226" spans="1:10" x14ac:dyDescent="0.35">
      <c r="A226">
        <v>1225</v>
      </c>
      <c r="B226" s="1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  <c r="I226">
        <f t="shared" si="10"/>
        <v>22000</v>
      </c>
      <c r="J226" t="str">
        <f t="shared" si="11"/>
        <v>01</v>
      </c>
    </row>
    <row r="227" spans="1:10" x14ac:dyDescent="0.35">
      <c r="A227">
        <v>1226</v>
      </c>
      <c r="B227" s="1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  <c r="I227">
        <f t="shared" si="10"/>
        <v>13200</v>
      </c>
      <c r="J227" t="str">
        <f t="shared" si="11"/>
        <v>01</v>
      </c>
    </row>
    <row r="228" spans="1:10" x14ac:dyDescent="0.35">
      <c r="A228">
        <v>1227</v>
      </c>
      <c r="B228" s="1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  <c r="I228">
        <f t="shared" si="10"/>
        <v>9600</v>
      </c>
      <c r="J228" t="str">
        <f t="shared" si="11"/>
        <v>01</v>
      </c>
    </row>
    <row r="229" spans="1:10" x14ac:dyDescent="0.35">
      <c r="A229">
        <v>1228</v>
      </c>
      <c r="B229" s="1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  <c r="I229">
        <f t="shared" si="10"/>
        <v>47000</v>
      </c>
      <c r="J229" t="str">
        <f t="shared" si="11"/>
        <v>01</v>
      </c>
    </row>
    <row r="230" spans="1:10" x14ac:dyDescent="0.35">
      <c r="A230">
        <v>1229</v>
      </c>
      <c r="B230" s="1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  <c r="I230">
        <f t="shared" si="10"/>
        <v>59000</v>
      </c>
      <c r="J230" t="str">
        <f t="shared" si="11"/>
        <v>01</v>
      </c>
    </row>
    <row r="231" spans="1:10" x14ac:dyDescent="0.35">
      <c r="A231">
        <v>1230</v>
      </c>
      <c r="B231" s="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  <c r="I231">
        <f t="shared" si="10"/>
        <v>8500</v>
      </c>
      <c r="J231" t="str">
        <f t="shared" si="11"/>
        <v>01</v>
      </c>
    </row>
    <row r="232" spans="1:10" x14ac:dyDescent="0.35">
      <c r="A232">
        <v>1231</v>
      </c>
      <c r="B232" s="1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  <c r="I232">
        <f t="shared" si="10"/>
        <v>7000</v>
      </c>
      <c r="J232" t="str">
        <f t="shared" si="11"/>
        <v>02</v>
      </c>
    </row>
    <row r="233" spans="1:10" x14ac:dyDescent="0.35">
      <c r="A233">
        <v>1232</v>
      </c>
      <c r="B233" s="1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  <c r="I233">
        <f t="shared" si="10"/>
        <v>7800</v>
      </c>
      <c r="J233" t="str">
        <f t="shared" si="11"/>
        <v>02</v>
      </c>
    </row>
    <row r="234" spans="1:10" x14ac:dyDescent="0.35">
      <c r="A234">
        <v>1233</v>
      </c>
      <c r="B234" s="1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  <c r="I234">
        <f t="shared" si="10"/>
        <v>116000</v>
      </c>
      <c r="J234" t="str">
        <f t="shared" si="11"/>
        <v>02</v>
      </c>
    </row>
    <row r="235" spans="1:10" x14ac:dyDescent="0.35">
      <c r="A235">
        <v>1234</v>
      </c>
      <c r="B235" s="1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  <c r="I235">
        <f t="shared" si="10"/>
        <v>11000</v>
      </c>
      <c r="J235" t="str">
        <f t="shared" si="11"/>
        <v>02</v>
      </c>
    </row>
    <row r="236" spans="1:10" x14ac:dyDescent="0.35">
      <c r="A236">
        <v>1235</v>
      </c>
      <c r="B236" s="1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  <c r="I236">
        <f t="shared" si="10"/>
        <v>2200</v>
      </c>
      <c r="J236" t="str">
        <f t="shared" si="11"/>
        <v>02</v>
      </c>
    </row>
    <row r="237" spans="1:10" x14ac:dyDescent="0.35">
      <c r="A237">
        <v>1236</v>
      </c>
      <c r="B237" s="1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  <c r="I237">
        <f t="shared" si="10"/>
        <v>12800</v>
      </c>
      <c r="J237" t="str">
        <f t="shared" si="11"/>
        <v>02</v>
      </c>
    </row>
    <row r="238" spans="1:10" x14ac:dyDescent="0.35">
      <c r="A238">
        <v>1237</v>
      </c>
      <c r="B238" s="1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  <c r="I238">
        <f t="shared" si="10"/>
        <v>94000</v>
      </c>
      <c r="J238" t="str">
        <f t="shared" si="11"/>
        <v>02</v>
      </c>
    </row>
    <row r="239" spans="1:10" x14ac:dyDescent="0.35">
      <c r="A239">
        <v>1238</v>
      </c>
      <c r="B239" s="1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  <c r="I239">
        <f t="shared" si="10"/>
        <v>59000</v>
      </c>
      <c r="J239" t="str">
        <f t="shared" si="11"/>
        <v>02</v>
      </c>
    </row>
    <row r="240" spans="1:10" x14ac:dyDescent="0.35">
      <c r="A240">
        <v>1239</v>
      </c>
      <c r="B240" s="1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  <c r="I240">
        <f t="shared" si="10"/>
        <v>850</v>
      </c>
      <c r="J240" t="str">
        <f t="shared" si="11"/>
        <v>02</v>
      </c>
    </row>
    <row r="241" spans="1:10" x14ac:dyDescent="0.35">
      <c r="A241">
        <v>1240</v>
      </c>
      <c r="B241" s="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  <c r="I241">
        <f t="shared" si="10"/>
        <v>12500</v>
      </c>
      <c r="J241" t="str">
        <f t="shared" si="11"/>
        <v>02</v>
      </c>
    </row>
    <row r="242" spans="1:10" x14ac:dyDescent="0.35">
      <c r="A242">
        <v>1241</v>
      </c>
      <c r="B242" s="1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  <c r="I242">
        <f t="shared" si="10"/>
        <v>24000</v>
      </c>
      <c r="J242" t="str">
        <f t="shared" si="11"/>
        <v>01</v>
      </c>
    </row>
    <row r="243" spans="1:10" x14ac:dyDescent="0.35">
      <c r="A243">
        <v>1242</v>
      </c>
      <c r="B243" s="1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  <c r="I243">
        <f t="shared" si="10"/>
        <v>10000</v>
      </c>
      <c r="J243" t="str">
        <f t="shared" si="11"/>
        <v>01</v>
      </c>
    </row>
    <row r="244" spans="1:10" x14ac:dyDescent="0.35">
      <c r="A244">
        <v>1243</v>
      </c>
      <c r="B244" s="1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  <c r="I244">
        <f t="shared" si="10"/>
        <v>9000</v>
      </c>
      <c r="J244" t="str">
        <f t="shared" si="11"/>
        <v>01</v>
      </c>
    </row>
    <row r="245" spans="1:10" x14ac:dyDescent="0.35">
      <c r="A245">
        <v>1244</v>
      </c>
      <c r="B245" s="1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  <c r="I245">
        <f t="shared" si="10"/>
        <v>240000</v>
      </c>
      <c r="J245" t="str">
        <f t="shared" si="11"/>
        <v>01</v>
      </c>
    </row>
    <row r="246" spans="1:10" x14ac:dyDescent="0.35">
      <c r="A246">
        <v>1245</v>
      </c>
      <c r="B246" s="1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  <c r="I246">
        <f t="shared" si="10"/>
        <v>90000</v>
      </c>
      <c r="J246" t="str">
        <f t="shared" si="11"/>
        <v>01</v>
      </c>
    </row>
    <row r="247" spans="1:10" x14ac:dyDescent="0.35">
      <c r="A247">
        <v>1246</v>
      </c>
      <c r="B247" s="1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  <c r="I247">
        <f t="shared" si="10"/>
        <v>4800</v>
      </c>
      <c r="J247" t="str">
        <f t="shared" si="11"/>
        <v>01</v>
      </c>
    </row>
    <row r="248" spans="1:10" x14ac:dyDescent="0.35">
      <c r="A248">
        <v>1247</v>
      </c>
      <c r="B248" s="1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  <c r="I248">
        <f t="shared" si="10"/>
        <v>63000</v>
      </c>
      <c r="J248" t="str">
        <f t="shared" si="11"/>
        <v>01</v>
      </c>
    </row>
    <row r="249" spans="1:10" x14ac:dyDescent="0.35">
      <c r="A249">
        <v>1248</v>
      </c>
      <c r="B249" s="1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  <c r="I249">
        <f t="shared" si="10"/>
        <v>3500</v>
      </c>
      <c r="J249" t="str">
        <f t="shared" si="11"/>
        <v>01</v>
      </c>
    </row>
    <row r="250" spans="1:10" x14ac:dyDescent="0.35">
      <c r="A250">
        <v>1249</v>
      </c>
      <c r="B250" s="1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  <c r="I250">
        <f t="shared" si="10"/>
        <v>2600</v>
      </c>
      <c r="J250" t="str">
        <f t="shared" si="11"/>
        <v>01</v>
      </c>
    </row>
    <row r="251" spans="1:10" x14ac:dyDescent="0.35">
      <c r="A251">
        <v>1250</v>
      </c>
      <c r="B251" s="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  <c r="I251">
        <f t="shared" si="10"/>
        <v>580000</v>
      </c>
      <c r="J251" t="str">
        <f t="shared" si="11"/>
        <v>01</v>
      </c>
    </row>
    <row r="252" spans="1:10" x14ac:dyDescent="0.35">
      <c r="A252">
        <v>1251</v>
      </c>
      <c r="B252" s="1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  <c r="I252">
        <f t="shared" si="10"/>
        <v>22000</v>
      </c>
      <c r="J252" t="str">
        <f t="shared" si="11"/>
        <v>02</v>
      </c>
    </row>
    <row r="253" spans="1:10" x14ac:dyDescent="0.35">
      <c r="A253">
        <v>1252</v>
      </c>
      <c r="B253" s="1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  <c r="I253">
        <f t="shared" si="10"/>
        <v>6600</v>
      </c>
      <c r="J253" t="str">
        <f t="shared" si="11"/>
        <v>02</v>
      </c>
    </row>
    <row r="254" spans="1:10" x14ac:dyDescent="0.35">
      <c r="A254">
        <v>1253</v>
      </c>
      <c r="B254" s="1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  <c r="I254">
        <f t="shared" si="10"/>
        <v>110000</v>
      </c>
      <c r="J254" t="str">
        <f t="shared" si="11"/>
        <v>02</v>
      </c>
    </row>
    <row r="255" spans="1:10" x14ac:dyDescent="0.35">
      <c r="A255">
        <v>1254</v>
      </c>
      <c r="B255" s="1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  <c r="I255">
        <f t="shared" si="10"/>
        <v>3500</v>
      </c>
      <c r="J255" t="str">
        <f t="shared" si="11"/>
        <v>02</v>
      </c>
    </row>
    <row r="256" spans="1:10" x14ac:dyDescent="0.35">
      <c r="A256">
        <v>1255</v>
      </c>
      <c r="B256" s="1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  <c r="I256">
        <f t="shared" si="10"/>
        <v>22000</v>
      </c>
      <c r="J256" t="str">
        <f t="shared" si="11"/>
        <v>02</v>
      </c>
    </row>
    <row r="257" spans="1:10" x14ac:dyDescent="0.35">
      <c r="A257">
        <v>1256</v>
      </c>
      <c r="B257" s="1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  <c r="I257">
        <f t="shared" si="10"/>
        <v>10000</v>
      </c>
      <c r="J257" t="str">
        <f t="shared" si="11"/>
        <v>02</v>
      </c>
    </row>
    <row r="258" spans="1:10" x14ac:dyDescent="0.35">
      <c r="A258">
        <v>1257</v>
      </c>
      <c r="B258" s="1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  <c r="I258">
        <f t="shared" si="10"/>
        <v>24000</v>
      </c>
      <c r="J258" t="str">
        <f t="shared" si="11"/>
        <v>02</v>
      </c>
    </row>
    <row r="259" spans="1:10" x14ac:dyDescent="0.35">
      <c r="A259">
        <v>1258</v>
      </c>
      <c r="B259" s="1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  <c r="I259">
        <f t="shared" ref="I259:I322" si="12">H259*G259</f>
        <v>2000</v>
      </c>
      <c r="J259" t="str">
        <f t="shared" ref="J259:J322" si="13">TEXT(B259,"MM")</f>
        <v>02</v>
      </c>
    </row>
    <row r="260" spans="1:10" x14ac:dyDescent="0.35">
      <c r="A260">
        <v>1259</v>
      </c>
      <c r="B260" s="1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  <c r="I260">
        <f t="shared" si="12"/>
        <v>3000</v>
      </c>
      <c r="J260" t="str">
        <f t="shared" si="13"/>
        <v>02</v>
      </c>
    </row>
    <row r="261" spans="1:10" x14ac:dyDescent="0.35">
      <c r="A261">
        <v>1260</v>
      </c>
      <c r="B261" s="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  <c r="I261">
        <f t="shared" si="12"/>
        <v>300000</v>
      </c>
      <c r="J261" t="str">
        <f t="shared" si="13"/>
        <v>02</v>
      </c>
    </row>
    <row r="262" spans="1:10" x14ac:dyDescent="0.35">
      <c r="A262">
        <v>1261</v>
      </c>
      <c r="B262" s="1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  <c r="I262">
        <f t="shared" si="12"/>
        <v>90000</v>
      </c>
      <c r="J262" t="str">
        <f t="shared" si="13"/>
        <v>01</v>
      </c>
    </row>
    <row r="263" spans="1:10" x14ac:dyDescent="0.35">
      <c r="A263">
        <v>1262</v>
      </c>
      <c r="B263" s="1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  <c r="I263">
        <f t="shared" si="12"/>
        <v>4000</v>
      </c>
      <c r="J263" t="str">
        <f t="shared" si="13"/>
        <v>01</v>
      </c>
    </row>
    <row r="264" spans="1:10" x14ac:dyDescent="0.35">
      <c r="A264">
        <v>1263</v>
      </c>
      <c r="B264" s="1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  <c r="I264">
        <f t="shared" si="12"/>
        <v>63000</v>
      </c>
      <c r="J264" t="str">
        <f t="shared" si="13"/>
        <v>01</v>
      </c>
    </row>
    <row r="265" spans="1:10" x14ac:dyDescent="0.35">
      <c r="A265">
        <v>1264</v>
      </c>
      <c r="B265" s="1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  <c r="I265">
        <f t="shared" si="12"/>
        <v>14000</v>
      </c>
      <c r="J265" t="str">
        <f t="shared" si="13"/>
        <v>01</v>
      </c>
    </row>
    <row r="266" spans="1:10" x14ac:dyDescent="0.35">
      <c r="A266">
        <v>1265</v>
      </c>
      <c r="B266" s="1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  <c r="I266">
        <f t="shared" si="12"/>
        <v>5200</v>
      </c>
      <c r="J266" t="str">
        <f t="shared" si="13"/>
        <v>01</v>
      </c>
    </row>
    <row r="267" spans="1:10" x14ac:dyDescent="0.35">
      <c r="A267">
        <v>1266</v>
      </c>
      <c r="B267" s="1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  <c r="I267">
        <f t="shared" si="12"/>
        <v>348000</v>
      </c>
      <c r="J267" t="str">
        <f t="shared" si="13"/>
        <v>01</v>
      </c>
    </row>
    <row r="268" spans="1:10" x14ac:dyDescent="0.35">
      <c r="A268">
        <v>1267</v>
      </c>
      <c r="B268" s="1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  <c r="I268">
        <f t="shared" si="12"/>
        <v>33000</v>
      </c>
      <c r="J268" t="str">
        <f t="shared" si="13"/>
        <v>01</v>
      </c>
    </row>
    <row r="269" spans="1:10" x14ac:dyDescent="0.35">
      <c r="A269">
        <v>1268</v>
      </c>
      <c r="B269" s="1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  <c r="I269">
        <f t="shared" si="12"/>
        <v>2200</v>
      </c>
      <c r="J269" t="str">
        <f t="shared" si="13"/>
        <v>01</v>
      </c>
    </row>
    <row r="270" spans="1:10" x14ac:dyDescent="0.35">
      <c r="A270">
        <v>1269</v>
      </c>
      <c r="B270" s="1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  <c r="I270">
        <f t="shared" si="12"/>
        <v>3200</v>
      </c>
      <c r="J270" t="str">
        <f t="shared" si="13"/>
        <v>01</v>
      </c>
    </row>
    <row r="271" spans="1:10" x14ac:dyDescent="0.35">
      <c r="A271">
        <v>1270</v>
      </c>
      <c r="B271" s="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  <c r="I271">
        <f t="shared" si="12"/>
        <v>470000</v>
      </c>
      <c r="J271" t="str">
        <f t="shared" si="13"/>
        <v>01</v>
      </c>
    </row>
    <row r="272" spans="1:10" x14ac:dyDescent="0.35">
      <c r="A272">
        <v>1271</v>
      </c>
      <c r="B272" s="1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  <c r="I272">
        <f t="shared" si="12"/>
        <v>118000</v>
      </c>
      <c r="J272" t="str">
        <f t="shared" si="13"/>
        <v>02</v>
      </c>
    </row>
    <row r="273" spans="1:10" x14ac:dyDescent="0.35">
      <c r="A273">
        <v>1272</v>
      </c>
      <c r="B273" s="1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  <c r="I273">
        <f t="shared" si="12"/>
        <v>2550</v>
      </c>
      <c r="J273" t="str">
        <f t="shared" si="13"/>
        <v>02</v>
      </c>
    </row>
    <row r="274" spans="1:10" x14ac:dyDescent="0.35">
      <c r="A274">
        <v>1273</v>
      </c>
      <c r="B274" s="1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  <c r="I274">
        <f t="shared" si="12"/>
        <v>7000</v>
      </c>
      <c r="J274" t="str">
        <f t="shared" si="13"/>
        <v>02</v>
      </c>
    </row>
    <row r="275" spans="1:10" x14ac:dyDescent="0.35">
      <c r="A275">
        <v>1274</v>
      </c>
      <c r="B275" s="1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  <c r="I275">
        <f t="shared" si="12"/>
        <v>2600</v>
      </c>
      <c r="J275" t="str">
        <f t="shared" si="13"/>
        <v>02</v>
      </c>
    </row>
    <row r="276" spans="1:10" x14ac:dyDescent="0.35">
      <c r="A276">
        <v>1275</v>
      </c>
      <c r="B276" s="1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  <c r="I276">
        <f t="shared" si="12"/>
        <v>58000</v>
      </c>
      <c r="J276" t="str">
        <f t="shared" si="13"/>
        <v>02</v>
      </c>
    </row>
    <row r="277" spans="1:10" x14ac:dyDescent="0.35">
      <c r="A277">
        <v>1276</v>
      </c>
      <c r="B277" s="1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  <c r="I277">
        <f t="shared" si="12"/>
        <v>44000</v>
      </c>
      <c r="J277" t="str">
        <f t="shared" si="13"/>
        <v>02</v>
      </c>
    </row>
    <row r="278" spans="1:10" x14ac:dyDescent="0.35">
      <c r="A278">
        <v>1277</v>
      </c>
      <c r="B278" s="1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  <c r="I278">
        <f t="shared" si="12"/>
        <v>4400</v>
      </c>
      <c r="J278" t="str">
        <f t="shared" si="13"/>
        <v>02</v>
      </c>
    </row>
    <row r="279" spans="1:10" x14ac:dyDescent="0.35">
      <c r="A279">
        <v>1278</v>
      </c>
      <c r="B279" s="1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  <c r="I279">
        <f t="shared" si="12"/>
        <v>3200</v>
      </c>
      <c r="J279" t="str">
        <f t="shared" si="13"/>
        <v>02</v>
      </c>
    </row>
    <row r="280" spans="1:10" x14ac:dyDescent="0.35">
      <c r="A280">
        <v>1279</v>
      </c>
      <c r="B280" s="1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  <c r="I280">
        <f t="shared" si="12"/>
        <v>47000</v>
      </c>
      <c r="J280" t="str">
        <f t="shared" si="13"/>
        <v>02</v>
      </c>
    </row>
    <row r="281" spans="1:10" x14ac:dyDescent="0.35">
      <c r="A281">
        <v>1280</v>
      </c>
      <c r="B281" s="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  <c r="I281">
        <f t="shared" si="12"/>
        <v>295000</v>
      </c>
      <c r="J281" t="str">
        <f t="shared" si="13"/>
        <v>02</v>
      </c>
    </row>
    <row r="282" spans="1:10" x14ac:dyDescent="0.35">
      <c r="A282">
        <v>1281</v>
      </c>
      <c r="B282" s="1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  <c r="I282">
        <f t="shared" si="12"/>
        <v>1700</v>
      </c>
      <c r="J282" t="str">
        <f t="shared" si="13"/>
        <v>01</v>
      </c>
    </row>
    <row r="283" spans="1:10" x14ac:dyDescent="0.35">
      <c r="A283">
        <v>1282</v>
      </c>
      <c r="B283" s="1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  <c r="I283">
        <f t="shared" si="12"/>
        <v>12500</v>
      </c>
      <c r="J283" t="str">
        <f t="shared" si="13"/>
        <v>01</v>
      </c>
    </row>
    <row r="284" spans="1:10" x14ac:dyDescent="0.35">
      <c r="A284">
        <v>1283</v>
      </c>
      <c r="B284" s="1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  <c r="I284">
        <f t="shared" si="12"/>
        <v>36000</v>
      </c>
      <c r="J284" t="str">
        <f t="shared" si="13"/>
        <v>01</v>
      </c>
    </row>
    <row r="285" spans="1:10" x14ac:dyDescent="0.35">
      <c r="A285">
        <v>1284</v>
      </c>
      <c r="B285" s="1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  <c r="I285">
        <f t="shared" si="12"/>
        <v>8000</v>
      </c>
      <c r="J285" t="str">
        <f t="shared" si="13"/>
        <v>01</v>
      </c>
    </row>
    <row r="286" spans="1:10" x14ac:dyDescent="0.35">
      <c r="A286">
        <v>1285</v>
      </c>
      <c r="B286" s="1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  <c r="I286">
        <f t="shared" si="12"/>
        <v>6000</v>
      </c>
      <c r="J286" t="str">
        <f t="shared" si="13"/>
        <v>01</v>
      </c>
    </row>
    <row r="287" spans="1:10" x14ac:dyDescent="0.35">
      <c r="A287">
        <v>1286</v>
      </c>
      <c r="B287" s="1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  <c r="I287">
        <f t="shared" si="12"/>
        <v>360000</v>
      </c>
      <c r="J287" t="str">
        <f t="shared" si="13"/>
        <v>01</v>
      </c>
    </row>
    <row r="288" spans="1:10" x14ac:dyDescent="0.35">
      <c r="A288">
        <v>1287</v>
      </c>
      <c r="B288" s="1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  <c r="I288">
        <f t="shared" si="12"/>
        <v>135000</v>
      </c>
      <c r="J288" t="str">
        <f t="shared" si="13"/>
        <v>01</v>
      </c>
    </row>
    <row r="289" spans="1:10" x14ac:dyDescent="0.35">
      <c r="A289">
        <v>1288</v>
      </c>
      <c r="B289" s="1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  <c r="I289">
        <f t="shared" si="12"/>
        <v>800</v>
      </c>
      <c r="J289" t="str">
        <f t="shared" si="13"/>
        <v>01</v>
      </c>
    </row>
    <row r="290" spans="1:10" x14ac:dyDescent="0.35">
      <c r="A290">
        <v>1289</v>
      </c>
      <c r="B290" s="1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  <c r="I290">
        <f t="shared" si="12"/>
        <v>21000</v>
      </c>
      <c r="J290" t="str">
        <f t="shared" si="13"/>
        <v>01</v>
      </c>
    </row>
    <row r="291" spans="1:10" x14ac:dyDescent="0.35">
      <c r="A291">
        <v>1290</v>
      </c>
      <c r="B291" s="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  <c r="I291">
        <f t="shared" si="12"/>
        <v>35000</v>
      </c>
      <c r="J291" t="str">
        <f t="shared" si="13"/>
        <v>01</v>
      </c>
    </row>
    <row r="292" spans="1:10" x14ac:dyDescent="0.35">
      <c r="A292">
        <v>1291</v>
      </c>
      <c r="B292" s="1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  <c r="I292">
        <f t="shared" si="12"/>
        <v>5200</v>
      </c>
      <c r="J292" t="str">
        <f t="shared" si="13"/>
        <v>02</v>
      </c>
    </row>
    <row r="293" spans="1:10" x14ac:dyDescent="0.35">
      <c r="A293">
        <v>1292</v>
      </c>
      <c r="B293" s="1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  <c r="I293">
        <f t="shared" si="12"/>
        <v>174000</v>
      </c>
      <c r="J293" t="str">
        <f t="shared" si="13"/>
        <v>02</v>
      </c>
    </row>
    <row r="294" spans="1:10" x14ac:dyDescent="0.35">
      <c r="A294">
        <v>1293</v>
      </c>
      <c r="B294" s="1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  <c r="I294">
        <f t="shared" si="12"/>
        <v>22000</v>
      </c>
      <c r="J294" t="str">
        <f t="shared" si="13"/>
        <v>02</v>
      </c>
    </row>
    <row r="295" spans="1:10" x14ac:dyDescent="0.35">
      <c r="A295">
        <v>1294</v>
      </c>
      <c r="B295" s="1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  <c r="I295">
        <f t="shared" si="12"/>
        <v>2200</v>
      </c>
      <c r="J295" t="str">
        <f t="shared" si="13"/>
        <v>02</v>
      </c>
    </row>
    <row r="296" spans="1:10" x14ac:dyDescent="0.35">
      <c r="A296">
        <v>1295</v>
      </c>
      <c r="B296" s="1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  <c r="I296">
        <f t="shared" si="12"/>
        <v>55000</v>
      </c>
      <c r="J296" t="str">
        <f t="shared" si="13"/>
        <v>02</v>
      </c>
    </row>
    <row r="297" spans="1:10" x14ac:dyDescent="0.35">
      <c r="A297">
        <v>1296</v>
      </c>
      <c r="B297" s="1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  <c r="I297">
        <f t="shared" si="12"/>
        <v>14000</v>
      </c>
      <c r="J297" t="str">
        <f t="shared" si="13"/>
        <v>02</v>
      </c>
    </row>
    <row r="298" spans="1:10" x14ac:dyDescent="0.35">
      <c r="A298">
        <v>1297</v>
      </c>
      <c r="B298" s="1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  <c r="I298">
        <f t="shared" si="12"/>
        <v>44000</v>
      </c>
      <c r="J298" t="str">
        <f t="shared" si="13"/>
        <v>02</v>
      </c>
    </row>
    <row r="299" spans="1:10" x14ac:dyDescent="0.35">
      <c r="A299">
        <v>1298</v>
      </c>
      <c r="B299" s="1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  <c r="I299">
        <f t="shared" si="12"/>
        <v>2500</v>
      </c>
      <c r="J299" t="str">
        <f t="shared" si="13"/>
        <v>02</v>
      </c>
    </row>
    <row r="300" spans="1:10" x14ac:dyDescent="0.35">
      <c r="A300">
        <v>1299</v>
      </c>
      <c r="B300" s="1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  <c r="I300">
        <f t="shared" si="12"/>
        <v>12000</v>
      </c>
      <c r="J300" t="str">
        <f t="shared" si="13"/>
        <v>02</v>
      </c>
    </row>
    <row r="301" spans="1:10" x14ac:dyDescent="0.35">
      <c r="A301">
        <v>1300</v>
      </c>
      <c r="B301" s="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  <c r="I301">
        <f t="shared" si="12"/>
        <v>10000</v>
      </c>
      <c r="J301" t="str">
        <f t="shared" si="13"/>
        <v>02</v>
      </c>
    </row>
    <row r="302" spans="1:10" x14ac:dyDescent="0.35">
      <c r="A302">
        <v>1301</v>
      </c>
      <c r="B302" s="1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  <c r="I302">
        <f t="shared" si="12"/>
        <v>6000</v>
      </c>
      <c r="J302" t="str">
        <f t="shared" si="13"/>
        <v>01</v>
      </c>
    </row>
    <row r="303" spans="1:10" x14ac:dyDescent="0.35">
      <c r="A303">
        <v>1302</v>
      </c>
      <c r="B303" s="1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  <c r="I303">
        <f t="shared" si="12"/>
        <v>300000</v>
      </c>
      <c r="J303" t="str">
        <f t="shared" si="13"/>
        <v>01</v>
      </c>
    </row>
    <row r="304" spans="1:10" x14ac:dyDescent="0.35">
      <c r="A304">
        <v>1303</v>
      </c>
      <c r="B304" s="1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  <c r="I304">
        <f t="shared" si="12"/>
        <v>135000</v>
      </c>
      <c r="J304" t="str">
        <f t="shared" si="13"/>
        <v>01</v>
      </c>
    </row>
    <row r="305" spans="1:10" x14ac:dyDescent="0.35">
      <c r="A305">
        <v>1304</v>
      </c>
      <c r="B305" s="1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  <c r="I305">
        <f t="shared" si="12"/>
        <v>3200</v>
      </c>
      <c r="J305" t="str">
        <f t="shared" si="13"/>
        <v>01</v>
      </c>
    </row>
    <row r="306" spans="1:10" x14ac:dyDescent="0.35">
      <c r="A306">
        <v>1305</v>
      </c>
      <c r="B306" s="1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  <c r="I306">
        <f t="shared" si="12"/>
        <v>42000</v>
      </c>
      <c r="J306" t="str">
        <f t="shared" si="13"/>
        <v>01</v>
      </c>
    </row>
    <row r="307" spans="1:10" x14ac:dyDescent="0.35">
      <c r="A307">
        <v>1306</v>
      </c>
      <c r="B307" s="1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  <c r="I307">
        <f t="shared" si="12"/>
        <v>21000</v>
      </c>
      <c r="J307" t="str">
        <f t="shared" si="13"/>
        <v>01</v>
      </c>
    </row>
    <row r="308" spans="1:10" x14ac:dyDescent="0.35">
      <c r="A308">
        <v>1307</v>
      </c>
      <c r="B308" s="1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  <c r="I308">
        <f t="shared" si="12"/>
        <v>7800</v>
      </c>
      <c r="J308" t="str">
        <f t="shared" si="13"/>
        <v>01</v>
      </c>
    </row>
    <row r="309" spans="1:10" x14ac:dyDescent="0.35">
      <c r="A309">
        <v>1308</v>
      </c>
      <c r="B309" s="1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  <c r="I309">
        <f t="shared" si="12"/>
        <v>58000</v>
      </c>
      <c r="J309" t="str">
        <f t="shared" si="13"/>
        <v>01</v>
      </c>
    </row>
    <row r="310" spans="1:10" x14ac:dyDescent="0.35">
      <c r="A310">
        <v>1309</v>
      </c>
      <c r="B310" s="1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  <c r="I310">
        <f t="shared" si="12"/>
        <v>11000</v>
      </c>
      <c r="J310" t="str">
        <f t="shared" si="13"/>
        <v>01</v>
      </c>
    </row>
    <row r="311" spans="1:10" x14ac:dyDescent="0.35">
      <c r="A311">
        <v>1310</v>
      </c>
      <c r="B311" s="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  <c r="I311">
        <f t="shared" si="12"/>
        <v>22000</v>
      </c>
      <c r="J311" t="str">
        <f t="shared" si="13"/>
        <v>01</v>
      </c>
    </row>
    <row r="312" spans="1:10" x14ac:dyDescent="0.35">
      <c r="A312">
        <v>1311</v>
      </c>
      <c r="B312" s="1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  <c r="I312">
        <f t="shared" si="12"/>
        <v>6400</v>
      </c>
      <c r="J312" t="str">
        <f t="shared" si="13"/>
        <v>02</v>
      </c>
    </row>
    <row r="313" spans="1:10" x14ac:dyDescent="0.35">
      <c r="A313">
        <v>1312</v>
      </c>
      <c r="B313" s="1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  <c r="I313">
        <f t="shared" si="12"/>
        <v>141000</v>
      </c>
      <c r="J313" t="str">
        <f t="shared" si="13"/>
        <v>02</v>
      </c>
    </row>
    <row r="314" spans="1:10" x14ac:dyDescent="0.35">
      <c r="A314">
        <v>1313</v>
      </c>
      <c r="B314" s="1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  <c r="I314">
        <f t="shared" si="12"/>
        <v>118000</v>
      </c>
      <c r="J314" t="str">
        <f t="shared" si="13"/>
        <v>02</v>
      </c>
    </row>
    <row r="315" spans="1:10" x14ac:dyDescent="0.35">
      <c r="A315">
        <v>1314</v>
      </c>
      <c r="B315" s="1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  <c r="I315">
        <f t="shared" si="12"/>
        <v>850</v>
      </c>
      <c r="J315" t="str">
        <f t="shared" si="13"/>
        <v>02</v>
      </c>
    </row>
    <row r="316" spans="1:10" x14ac:dyDescent="0.35">
      <c r="A316">
        <v>1315</v>
      </c>
      <c r="B316" s="1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  <c r="I316">
        <f t="shared" si="12"/>
        <v>3500</v>
      </c>
      <c r="J316" t="str">
        <f t="shared" si="13"/>
        <v>02</v>
      </c>
    </row>
    <row r="317" spans="1:10" x14ac:dyDescent="0.35">
      <c r="A317">
        <v>1316</v>
      </c>
      <c r="B317" s="1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  <c r="I317">
        <f t="shared" si="12"/>
        <v>10400</v>
      </c>
      <c r="J317" t="str">
        <f t="shared" si="13"/>
        <v>02</v>
      </c>
    </row>
    <row r="318" spans="1:10" x14ac:dyDescent="0.35">
      <c r="A318">
        <v>1317</v>
      </c>
      <c r="B318" s="1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  <c r="I318">
        <f t="shared" si="12"/>
        <v>116000</v>
      </c>
      <c r="J318" t="str">
        <f t="shared" si="13"/>
        <v>02</v>
      </c>
    </row>
    <row r="319" spans="1:10" x14ac:dyDescent="0.35">
      <c r="A319">
        <v>1318</v>
      </c>
      <c r="B319" s="1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  <c r="I319">
        <f t="shared" si="12"/>
        <v>11000</v>
      </c>
      <c r="J319" t="str">
        <f t="shared" si="13"/>
        <v>02</v>
      </c>
    </row>
    <row r="320" spans="1:10" x14ac:dyDescent="0.35">
      <c r="A320">
        <v>1319</v>
      </c>
      <c r="B320" s="1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  <c r="I320">
        <f t="shared" si="12"/>
        <v>2200</v>
      </c>
      <c r="J320" t="str">
        <f t="shared" si="13"/>
        <v>02</v>
      </c>
    </row>
    <row r="321" spans="1:10" x14ac:dyDescent="0.35">
      <c r="A321">
        <v>1320</v>
      </c>
      <c r="B321" s="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  <c r="I321">
        <f t="shared" si="12"/>
        <v>16000</v>
      </c>
      <c r="J321" t="str">
        <f t="shared" si="13"/>
        <v>02</v>
      </c>
    </row>
    <row r="322" spans="1:10" x14ac:dyDescent="0.35">
      <c r="A322">
        <v>1321</v>
      </c>
      <c r="B322" s="1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  <c r="I322">
        <f t="shared" si="12"/>
        <v>94000</v>
      </c>
      <c r="J322" t="str">
        <f t="shared" si="13"/>
        <v>01</v>
      </c>
    </row>
    <row r="323" spans="1:10" x14ac:dyDescent="0.35">
      <c r="A323">
        <v>1322</v>
      </c>
      <c r="B323" s="1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  <c r="I323">
        <f t="shared" ref="I323:I352" si="14">H323*G323</f>
        <v>295000</v>
      </c>
      <c r="J323" t="str">
        <f t="shared" ref="J323:J352" si="15">TEXT(B323,"MM")</f>
        <v>01</v>
      </c>
    </row>
    <row r="324" spans="1:10" x14ac:dyDescent="0.35">
      <c r="A324">
        <v>1323</v>
      </c>
      <c r="B324" s="1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  <c r="I324">
        <f t="shared" si="14"/>
        <v>2550</v>
      </c>
      <c r="J324" t="str">
        <f t="shared" si="15"/>
        <v>01</v>
      </c>
    </row>
    <row r="325" spans="1:10" x14ac:dyDescent="0.35">
      <c r="A325">
        <v>1324</v>
      </c>
      <c r="B325" s="1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  <c r="I325">
        <f t="shared" si="14"/>
        <v>10000</v>
      </c>
      <c r="J325" t="str">
        <f t="shared" si="15"/>
        <v>01</v>
      </c>
    </row>
    <row r="326" spans="1:10" x14ac:dyDescent="0.35">
      <c r="A326">
        <v>1325</v>
      </c>
      <c r="B326" s="1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  <c r="I326">
        <f t="shared" si="14"/>
        <v>24000</v>
      </c>
      <c r="J326" t="str">
        <f t="shared" si="15"/>
        <v>01</v>
      </c>
    </row>
    <row r="327" spans="1:10" x14ac:dyDescent="0.35">
      <c r="A327">
        <v>1326</v>
      </c>
      <c r="B327" s="1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  <c r="I327">
        <f t="shared" si="14"/>
        <v>12000</v>
      </c>
      <c r="J327" t="str">
        <f t="shared" si="15"/>
        <v>01</v>
      </c>
    </row>
    <row r="328" spans="1:10" x14ac:dyDescent="0.35">
      <c r="A328">
        <v>1327</v>
      </c>
      <c r="B328" s="1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  <c r="I328">
        <f t="shared" si="14"/>
        <v>9000</v>
      </c>
      <c r="J328" t="str">
        <f t="shared" si="15"/>
        <v>01</v>
      </c>
    </row>
    <row r="329" spans="1:10" x14ac:dyDescent="0.35">
      <c r="A329">
        <v>1328</v>
      </c>
      <c r="B329" s="1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  <c r="I329">
        <f t="shared" si="14"/>
        <v>60000</v>
      </c>
      <c r="J329" t="str">
        <f t="shared" si="15"/>
        <v>01</v>
      </c>
    </row>
    <row r="330" spans="1:10" x14ac:dyDescent="0.35">
      <c r="A330">
        <v>1329</v>
      </c>
      <c r="B330" s="1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  <c r="I330">
        <f t="shared" si="14"/>
        <v>45000</v>
      </c>
      <c r="J330" t="str">
        <f t="shared" si="15"/>
        <v>01</v>
      </c>
    </row>
    <row r="331" spans="1:10" x14ac:dyDescent="0.35">
      <c r="A331">
        <v>1330</v>
      </c>
      <c r="B331" s="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  <c r="I331">
        <f t="shared" si="14"/>
        <v>8000</v>
      </c>
      <c r="J331" t="str">
        <f t="shared" si="15"/>
        <v>01</v>
      </c>
    </row>
    <row r="332" spans="1:10" x14ac:dyDescent="0.35">
      <c r="A332">
        <v>1331</v>
      </c>
      <c r="B332" s="1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  <c r="I332">
        <f t="shared" si="14"/>
        <v>42000</v>
      </c>
      <c r="J332" t="str">
        <f t="shared" si="15"/>
        <v>02</v>
      </c>
    </row>
    <row r="333" spans="1:10" x14ac:dyDescent="0.35">
      <c r="A333">
        <v>1332</v>
      </c>
      <c r="B333" s="1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  <c r="I333">
        <f t="shared" si="14"/>
        <v>10500</v>
      </c>
      <c r="J333" t="str">
        <f t="shared" si="15"/>
        <v>02</v>
      </c>
    </row>
    <row r="334" spans="1:10" x14ac:dyDescent="0.35">
      <c r="A334">
        <v>1333</v>
      </c>
      <c r="B334" s="1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  <c r="I334">
        <f t="shared" si="14"/>
        <v>5200</v>
      </c>
      <c r="J334" t="str">
        <f t="shared" si="15"/>
        <v>02</v>
      </c>
    </row>
    <row r="335" spans="1:10" x14ac:dyDescent="0.35">
      <c r="A335">
        <v>1334</v>
      </c>
      <c r="B335" s="1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  <c r="I335">
        <f t="shared" si="14"/>
        <v>58000</v>
      </c>
      <c r="J335" t="str">
        <f t="shared" si="15"/>
        <v>02</v>
      </c>
    </row>
    <row r="336" spans="1:10" x14ac:dyDescent="0.35">
      <c r="A336">
        <v>1335</v>
      </c>
      <c r="B336" s="1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  <c r="I336">
        <f t="shared" si="14"/>
        <v>11000</v>
      </c>
      <c r="J336" t="str">
        <f t="shared" si="15"/>
        <v>02</v>
      </c>
    </row>
    <row r="337" spans="1:10" x14ac:dyDescent="0.35">
      <c r="A337">
        <v>1336</v>
      </c>
      <c r="B337" s="1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  <c r="I337">
        <f t="shared" si="14"/>
        <v>8800</v>
      </c>
      <c r="J337" t="str">
        <f t="shared" si="15"/>
        <v>02</v>
      </c>
    </row>
    <row r="338" spans="1:10" x14ac:dyDescent="0.35">
      <c r="A338">
        <v>1337</v>
      </c>
      <c r="B338" s="1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  <c r="I338">
        <f t="shared" si="14"/>
        <v>110000</v>
      </c>
      <c r="J338" t="str">
        <f t="shared" si="15"/>
        <v>02</v>
      </c>
    </row>
    <row r="339" spans="1:10" x14ac:dyDescent="0.35">
      <c r="A339">
        <v>1338</v>
      </c>
      <c r="B339" s="1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  <c r="I339">
        <f t="shared" si="14"/>
        <v>3500</v>
      </c>
      <c r="J339" t="str">
        <f t="shared" si="15"/>
        <v>02</v>
      </c>
    </row>
    <row r="340" spans="1:10" x14ac:dyDescent="0.35">
      <c r="A340">
        <v>1339</v>
      </c>
      <c r="B340" s="1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  <c r="I340">
        <f t="shared" si="14"/>
        <v>22000</v>
      </c>
      <c r="J340" t="str">
        <f t="shared" si="15"/>
        <v>02</v>
      </c>
    </row>
    <row r="341" spans="1:10" x14ac:dyDescent="0.35">
      <c r="A341">
        <v>1340</v>
      </c>
      <c r="B341" s="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  <c r="I341">
        <f t="shared" si="14"/>
        <v>12500</v>
      </c>
      <c r="J341" t="str">
        <f t="shared" si="15"/>
        <v>02</v>
      </c>
    </row>
    <row r="342" spans="1:10" x14ac:dyDescent="0.35">
      <c r="A342">
        <v>1341</v>
      </c>
      <c r="B342" s="1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  <c r="I342">
        <f t="shared" si="14"/>
        <v>24000</v>
      </c>
      <c r="J342" t="str">
        <f t="shared" si="15"/>
        <v>01</v>
      </c>
    </row>
    <row r="343" spans="1:10" x14ac:dyDescent="0.35">
      <c r="A343">
        <v>1342</v>
      </c>
      <c r="B343" s="1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  <c r="I343">
        <f t="shared" si="14"/>
        <v>10000</v>
      </c>
      <c r="J343" t="str">
        <f t="shared" si="15"/>
        <v>01</v>
      </c>
    </row>
    <row r="344" spans="1:10" x14ac:dyDescent="0.35">
      <c r="A344">
        <v>1343</v>
      </c>
      <c r="B344" s="1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  <c r="I344">
        <f t="shared" si="14"/>
        <v>9000</v>
      </c>
      <c r="J344" t="str">
        <f t="shared" si="15"/>
        <v>01</v>
      </c>
    </row>
    <row r="345" spans="1:10" x14ac:dyDescent="0.35">
      <c r="A345">
        <v>1344</v>
      </c>
      <c r="B345" s="1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  <c r="I345">
        <f t="shared" si="14"/>
        <v>240000</v>
      </c>
      <c r="J345" t="str">
        <f t="shared" si="15"/>
        <v>01</v>
      </c>
    </row>
    <row r="346" spans="1:10" x14ac:dyDescent="0.35">
      <c r="A346">
        <v>1345</v>
      </c>
      <c r="B346" s="1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  <c r="I346">
        <f t="shared" si="14"/>
        <v>90000</v>
      </c>
      <c r="J346" t="str">
        <f t="shared" si="15"/>
        <v>01</v>
      </c>
    </row>
    <row r="347" spans="1:10" x14ac:dyDescent="0.35">
      <c r="A347">
        <v>1346</v>
      </c>
      <c r="B347" s="1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  <c r="I347">
        <f t="shared" si="14"/>
        <v>4800</v>
      </c>
      <c r="J347" t="str">
        <f t="shared" si="15"/>
        <v>01</v>
      </c>
    </row>
    <row r="348" spans="1:10" x14ac:dyDescent="0.35">
      <c r="A348">
        <v>1347</v>
      </c>
      <c r="B348" s="1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  <c r="I348">
        <f t="shared" si="14"/>
        <v>63000</v>
      </c>
      <c r="J348" t="str">
        <f t="shared" si="15"/>
        <v>01</v>
      </c>
    </row>
    <row r="349" spans="1:10" x14ac:dyDescent="0.35">
      <c r="A349">
        <v>1348</v>
      </c>
      <c r="B349" s="1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3500</v>
      </c>
      <c r="I349">
        <f t="shared" si="14"/>
        <v>3500</v>
      </c>
      <c r="J349" t="str">
        <f t="shared" si="15"/>
        <v>01</v>
      </c>
    </row>
    <row r="350" spans="1:10" x14ac:dyDescent="0.35">
      <c r="A350">
        <v>1349</v>
      </c>
      <c r="B350" s="1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  <c r="I350">
        <f t="shared" si="14"/>
        <v>2600</v>
      </c>
      <c r="J350" t="str">
        <f t="shared" si="15"/>
        <v>01</v>
      </c>
    </row>
    <row r="351" spans="1:10" x14ac:dyDescent="0.35">
      <c r="A351">
        <v>1350</v>
      </c>
      <c r="B351" s="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  <c r="I351">
        <f t="shared" si="14"/>
        <v>580000</v>
      </c>
      <c r="J351" t="str">
        <f t="shared" si="15"/>
        <v>01</v>
      </c>
    </row>
    <row r="352" spans="1:10" x14ac:dyDescent="0.35">
      <c r="A352">
        <v>1351</v>
      </c>
      <c r="B352" s="1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  <c r="I352">
        <f t="shared" si="14"/>
        <v>22000</v>
      </c>
      <c r="J352" t="str">
        <f t="shared" si="15"/>
        <v>02</v>
      </c>
    </row>
  </sheetData>
  <mergeCells count="1">
    <mergeCell ref="K3:Q16"/>
  </mergeCells>
  <conditionalFormatting sqref="S6:T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:T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8946-308C-4800-89F2-946D20D1774D}">
  <dimension ref="A1:L415"/>
  <sheetViews>
    <sheetView tabSelected="1" workbookViewId="0">
      <selection activeCell="I27" sqref="I27"/>
    </sheetView>
  </sheetViews>
  <sheetFormatPr defaultRowHeight="14.5" x14ac:dyDescent="0.35"/>
  <cols>
    <col min="9" max="9" width="9.81640625" bestFit="1" customWidth="1"/>
    <col min="10" max="10" width="11.54296875" customWidth="1"/>
  </cols>
  <sheetData>
    <row r="1" spans="1:12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55</v>
      </c>
      <c r="J1" s="7" t="s">
        <v>56</v>
      </c>
      <c r="K1" t="s">
        <v>35</v>
      </c>
      <c r="L1" t="s">
        <v>46</v>
      </c>
    </row>
    <row r="2" spans="1:12" x14ac:dyDescent="0.35">
      <c r="A2">
        <v>1001</v>
      </c>
      <c r="B2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  <c r="I2" s="8">
        <v>48000</v>
      </c>
      <c r="J2" s="8">
        <v>5</v>
      </c>
      <c r="K2">
        <v>110000</v>
      </c>
      <c r="L2" t="s">
        <v>52</v>
      </c>
    </row>
    <row r="3" spans="1:12" x14ac:dyDescent="0.35">
      <c r="A3">
        <v>1002</v>
      </c>
      <c r="B3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  <c r="I3" s="8">
        <v>2500</v>
      </c>
      <c r="J3" s="8">
        <v>0</v>
      </c>
      <c r="K3">
        <v>17500</v>
      </c>
      <c r="L3" t="s">
        <v>52</v>
      </c>
    </row>
    <row r="4" spans="1:12" x14ac:dyDescent="0.35">
      <c r="A4">
        <v>1003</v>
      </c>
      <c r="B4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  <c r="I4" s="8">
        <v>18000</v>
      </c>
      <c r="J4" s="8">
        <v>10</v>
      </c>
      <c r="K4">
        <v>66000</v>
      </c>
      <c r="L4" t="s">
        <v>52</v>
      </c>
    </row>
    <row r="5" spans="1:12" x14ac:dyDescent="0.35">
      <c r="A5">
        <v>1004</v>
      </c>
      <c r="B5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  <c r="I5" s="8">
        <v>1500</v>
      </c>
      <c r="J5" s="8">
        <v>0</v>
      </c>
      <c r="K5">
        <v>10000</v>
      </c>
      <c r="L5" t="s">
        <v>52</v>
      </c>
    </row>
    <row r="6" spans="1:12" x14ac:dyDescent="0.35">
      <c r="A6">
        <v>1005</v>
      </c>
      <c r="B6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  <c r="I6" s="8">
        <v>9000</v>
      </c>
      <c r="J6" s="8">
        <v>5</v>
      </c>
      <c r="K6">
        <v>24000</v>
      </c>
      <c r="L6" t="s">
        <v>52</v>
      </c>
    </row>
    <row r="7" spans="1:12" x14ac:dyDescent="0.35">
      <c r="A7">
        <v>1006</v>
      </c>
      <c r="B7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  <c r="I7" s="8">
        <v>1200</v>
      </c>
      <c r="J7" s="8">
        <v>0</v>
      </c>
      <c r="K7">
        <v>12000</v>
      </c>
      <c r="L7" t="s">
        <v>52</v>
      </c>
    </row>
    <row r="8" spans="1:12" x14ac:dyDescent="0.35">
      <c r="A8">
        <v>1007</v>
      </c>
      <c r="B8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  <c r="I8" s="8">
        <v>2000</v>
      </c>
      <c r="J8" s="8">
        <v>0</v>
      </c>
      <c r="K8">
        <v>9000</v>
      </c>
      <c r="L8" t="s">
        <v>52</v>
      </c>
    </row>
    <row r="9" spans="1:12" x14ac:dyDescent="0.35">
      <c r="A9">
        <v>1008</v>
      </c>
      <c r="B9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  <c r="I9" s="8">
        <v>52000</v>
      </c>
      <c r="J9" s="8">
        <v>15</v>
      </c>
      <c r="K9">
        <v>60000</v>
      </c>
      <c r="L9" t="s">
        <v>52</v>
      </c>
    </row>
    <row r="10" spans="1:12" x14ac:dyDescent="0.35">
      <c r="A10">
        <v>1009</v>
      </c>
      <c r="B10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  <c r="I10" s="8">
        <v>38000</v>
      </c>
      <c r="J10" s="8">
        <v>5</v>
      </c>
      <c r="K10">
        <v>45000</v>
      </c>
      <c r="L10" t="s">
        <v>52</v>
      </c>
    </row>
    <row r="11" spans="1:12" x14ac:dyDescent="0.35">
      <c r="A11">
        <v>1010</v>
      </c>
      <c r="B1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  <c r="I11" s="8">
        <v>400</v>
      </c>
      <c r="J11" s="8">
        <v>0</v>
      </c>
      <c r="K11">
        <v>8000</v>
      </c>
      <c r="L11" t="s">
        <v>52</v>
      </c>
    </row>
    <row r="12" spans="1:12" x14ac:dyDescent="0.35">
      <c r="A12">
        <v>1011</v>
      </c>
      <c r="B12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  <c r="I12" s="8">
        <v>17000</v>
      </c>
      <c r="J12" s="8">
        <v>10</v>
      </c>
      <c r="K12">
        <v>42000</v>
      </c>
      <c r="L12" t="s">
        <v>53</v>
      </c>
    </row>
    <row r="13" spans="1:12" x14ac:dyDescent="0.35">
      <c r="A13">
        <v>1012</v>
      </c>
      <c r="B13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  <c r="I13" s="8">
        <v>2500</v>
      </c>
      <c r="J13" s="8">
        <v>0</v>
      </c>
      <c r="K13">
        <v>10500</v>
      </c>
      <c r="L13" t="s">
        <v>53</v>
      </c>
    </row>
    <row r="14" spans="1:12" x14ac:dyDescent="0.35">
      <c r="A14">
        <v>1013</v>
      </c>
      <c r="B14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  <c r="I14" s="8">
        <v>1500</v>
      </c>
      <c r="J14" s="8">
        <v>0</v>
      </c>
      <c r="K14">
        <v>5200</v>
      </c>
      <c r="L14" t="s">
        <v>53</v>
      </c>
    </row>
    <row r="15" spans="1:12" x14ac:dyDescent="0.35">
      <c r="A15">
        <v>1014</v>
      </c>
      <c r="B15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  <c r="I15" s="8">
        <v>50000</v>
      </c>
      <c r="J15" s="8">
        <v>5</v>
      </c>
      <c r="K15">
        <v>58000</v>
      </c>
      <c r="L15" t="s">
        <v>53</v>
      </c>
    </row>
    <row r="16" spans="1:12" x14ac:dyDescent="0.35">
      <c r="A16">
        <v>1015</v>
      </c>
      <c r="B16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  <c r="I16" s="8">
        <v>9000</v>
      </c>
      <c r="J16" s="8">
        <v>0</v>
      </c>
      <c r="K16">
        <v>11000</v>
      </c>
      <c r="L16" t="s">
        <v>53</v>
      </c>
    </row>
    <row r="17" spans="1:12" x14ac:dyDescent="0.35">
      <c r="A17">
        <v>1016</v>
      </c>
      <c r="B17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  <c r="I17" s="8">
        <v>1200</v>
      </c>
      <c r="J17" s="8">
        <v>0</v>
      </c>
      <c r="K17">
        <v>8800</v>
      </c>
      <c r="L17" t="s">
        <v>53</v>
      </c>
    </row>
    <row r="18" spans="1:12" x14ac:dyDescent="0.35">
      <c r="A18">
        <v>1017</v>
      </c>
      <c r="B18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  <c r="I18" s="8">
        <v>2000</v>
      </c>
      <c r="J18" s="8">
        <v>5</v>
      </c>
      <c r="K18">
        <v>6400</v>
      </c>
      <c r="L18" t="s">
        <v>53</v>
      </c>
    </row>
    <row r="19" spans="1:12" x14ac:dyDescent="0.35">
      <c r="A19">
        <v>1018</v>
      </c>
      <c r="B19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  <c r="I19" s="8">
        <v>39000</v>
      </c>
      <c r="J19" s="8">
        <v>10</v>
      </c>
      <c r="K19">
        <v>47000</v>
      </c>
      <c r="L19" t="s">
        <v>53</v>
      </c>
    </row>
    <row r="20" spans="1:12" x14ac:dyDescent="0.35">
      <c r="A20">
        <v>1019</v>
      </c>
      <c r="B20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  <c r="I20" s="8">
        <v>50000</v>
      </c>
      <c r="J20" s="8">
        <v>0</v>
      </c>
      <c r="K20">
        <v>59000</v>
      </c>
      <c r="L20" t="s">
        <v>53</v>
      </c>
    </row>
    <row r="21" spans="1:12" x14ac:dyDescent="0.35">
      <c r="A21">
        <v>1020</v>
      </c>
      <c r="B2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  <c r="I21" s="8">
        <v>400</v>
      </c>
      <c r="J21" s="8">
        <v>0</v>
      </c>
      <c r="K21">
        <v>4250</v>
      </c>
      <c r="L21" t="s">
        <v>53</v>
      </c>
    </row>
    <row r="22" spans="1:12" x14ac:dyDescent="0.35">
      <c r="A22">
        <v>1021</v>
      </c>
      <c r="B22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  <c r="I22" s="10">
        <f>H22*90%</f>
        <v>3150</v>
      </c>
      <c r="J22" s="8">
        <v>5</v>
      </c>
      <c r="K22">
        <v>7000</v>
      </c>
      <c r="L22" t="s">
        <v>52</v>
      </c>
    </row>
    <row r="23" spans="1:12" x14ac:dyDescent="0.35">
      <c r="A23">
        <v>1022</v>
      </c>
      <c r="B23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  <c r="I23" s="10">
        <f t="shared" ref="I23:I86" si="0">H23*90%</f>
        <v>2340</v>
      </c>
      <c r="J23" s="8">
        <v>0</v>
      </c>
      <c r="K23">
        <v>13000</v>
      </c>
      <c r="L23" t="s">
        <v>52</v>
      </c>
    </row>
    <row r="24" spans="1:12" x14ac:dyDescent="0.35">
      <c r="A24">
        <v>1023</v>
      </c>
      <c r="B24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  <c r="I24" s="10">
        <f t="shared" si="0"/>
        <v>52200</v>
      </c>
      <c r="J24" s="8">
        <v>10</v>
      </c>
      <c r="K24">
        <v>174000</v>
      </c>
      <c r="L24" t="s">
        <v>52</v>
      </c>
    </row>
    <row r="25" spans="1:12" x14ac:dyDescent="0.35">
      <c r="A25">
        <v>1024</v>
      </c>
      <c r="B25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  <c r="I25" s="10">
        <f t="shared" si="0"/>
        <v>9900</v>
      </c>
      <c r="J25" s="8">
        <v>0</v>
      </c>
      <c r="K25">
        <v>44000</v>
      </c>
      <c r="L25" t="s">
        <v>52</v>
      </c>
    </row>
    <row r="26" spans="1:12" x14ac:dyDescent="0.35">
      <c r="A26">
        <v>1025</v>
      </c>
      <c r="B26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  <c r="I26" s="10">
        <f t="shared" si="0"/>
        <v>1980</v>
      </c>
      <c r="J26" s="8">
        <v>5</v>
      </c>
      <c r="K26">
        <v>4400</v>
      </c>
      <c r="L26" t="s">
        <v>52</v>
      </c>
    </row>
    <row r="27" spans="1:12" x14ac:dyDescent="0.35">
      <c r="A27">
        <v>1026</v>
      </c>
      <c r="B27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  <c r="I27" s="10">
        <f t="shared" si="0"/>
        <v>2880</v>
      </c>
      <c r="J27" s="8">
        <v>0</v>
      </c>
      <c r="K27">
        <v>19200</v>
      </c>
      <c r="L27" t="s">
        <v>52</v>
      </c>
    </row>
    <row r="28" spans="1:12" x14ac:dyDescent="0.35">
      <c r="A28">
        <v>1027</v>
      </c>
      <c r="B28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  <c r="I28" s="10">
        <f t="shared" si="0"/>
        <v>42300</v>
      </c>
      <c r="J28" s="8">
        <v>0</v>
      </c>
      <c r="K28">
        <v>141000</v>
      </c>
      <c r="L28" t="s">
        <v>52</v>
      </c>
    </row>
    <row r="29" spans="1:12" x14ac:dyDescent="0.35">
      <c r="A29">
        <v>1028</v>
      </c>
      <c r="B29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  <c r="I29" s="10">
        <f t="shared" si="0"/>
        <v>53100</v>
      </c>
      <c r="J29" s="8">
        <v>15</v>
      </c>
      <c r="K29">
        <v>59000</v>
      </c>
      <c r="L29" t="s">
        <v>52</v>
      </c>
    </row>
    <row r="30" spans="1:12" x14ac:dyDescent="0.35">
      <c r="A30">
        <v>1029</v>
      </c>
      <c r="B30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  <c r="I30" s="10">
        <f t="shared" si="0"/>
        <v>765</v>
      </c>
      <c r="J30" s="8">
        <v>5</v>
      </c>
      <c r="K30">
        <v>850</v>
      </c>
      <c r="L30" t="s">
        <v>52</v>
      </c>
    </row>
    <row r="31" spans="1:12" x14ac:dyDescent="0.35">
      <c r="A31">
        <v>1030</v>
      </c>
      <c r="B3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  <c r="I31" s="10">
        <f t="shared" si="0"/>
        <v>2250</v>
      </c>
      <c r="J31" s="8">
        <v>0</v>
      </c>
      <c r="K31">
        <v>25000</v>
      </c>
      <c r="L31" t="s">
        <v>52</v>
      </c>
    </row>
    <row r="32" spans="1:12" x14ac:dyDescent="0.35">
      <c r="A32">
        <v>1031</v>
      </c>
      <c r="B32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  <c r="I32" s="10">
        <f t="shared" si="0"/>
        <v>10800</v>
      </c>
      <c r="J32" s="8">
        <v>10</v>
      </c>
      <c r="K32">
        <v>24000</v>
      </c>
      <c r="L32" t="s">
        <v>53</v>
      </c>
    </row>
    <row r="33" spans="1:12" x14ac:dyDescent="0.35">
      <c r="A33">
        <v>1032</v>
      </c>
      <c r="B33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  <c r="I33" s="10">
        <f t="shared" si="0"/>
        <v>1800</v>
      </c>
      <c r="J33" s="8">
        <v>0</v>
      </c>
      <c r="K33">
        <v>6000</v>
      </c>
      <c r="L33" t="s">
        <v>53</v>
      </c>
    </row>
    <row r="34" spans="1:12" x14ac:dyDescent="0.35">
      <c r="A34">
        <v>1033</v>
      </c>
      <c r="B34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  <c r="I34" s="10">
        <f t="shared" si="0"/>
        <v>2700</v>
      </c>
      <c r="J34" s="8">
        <v>0</v>
      </c>
      <c r="K34">
        <v>6000</v>
      </c>
      <c r="L34" t="s">
        <v>53</v>
      </c>
    </row>
    <row r="35" spans="1:12" x14ac:dyDescent="0.35">
      <c r="A35">
        <v>1034</v>
      </c>
      <c r="B35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  <c r="I35" s="10">
        <f t="shared" si="0"/>
        <v>54000</v>
      </c>
      <c r="J35" s="8">
        <v>5</v>
      </c>
      <c r="K35">
        <v>60000</v>
      </c>
      <c r="L35" t="s">
        <v>53</v>
      </c>
    </row>
    <row r="36" spans="1:12" x14ac:dyDescent="0.35">
      <c r="A36">
        <v>1035</v>
      </c>
      <c r="B36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  <c r="I36" s="10">
        <f t="shared" si="0"/>
        <v>40500</v>
      </c>
      <c r="J36" s="8">
        <v>0</v>
      </c>
      <c r="K36">
        <v>45000</v>
      </c>
      <c r="L36" t="s">
        <v>53</v>
      </c>
    </row>
    <row r="37" spans="1:12" x14ac:dyDescent="0.35">
      <c r="A37">
        <v>1036</v>
      </c>
      <c r="B37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  <c r="I37" s="10">
        <f t="shared" si="0"/>
        <v>720</v>
      </c>
      <c r="J37" s="8">
        <v>0</v>
      </c>
      <c r="K37">
        <v>3200</v>
      </c>
      <c r="L37" t="s">
        <v>53</v>
      </c>
    </row>
    <row r="38" spans="1:12" x14ac:dyDescent="0.35">
      <c r="A38">
        <v>1037</v>
      </c>
      <c r="B38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  <c r="I38" s="10">
        <f t="shared" si="0"/>
        <v>18900</v>
      </c>
      <c r="J38" s="8">
        <v>5</v>
      </c>
      <c r="K38">
        <v>42000</v>
      </c>
      <c r="L38" t="s">
        <v>53</v>
      </c>
    </row>
    <row r="39" spans="1:12" x14ac:dyDescent="0.35">
      <c r="A39">
        <v>1038</v>
      </c>
      <c r="B39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  <c r="I39" s="10">
        <f t="shared" si="0"/>
        <v>3150</v>
      </c>
      <c r="J39" s="8">
        <v>10</v>
      </c>
      <c r="K39">
        <v>3500</v>
      </c>
      <c r="L39" t="s">
        <v>53</v>
      </c>
    </row>
    <row r="40" spans="1:12" x14ac:dyDescent="0.35">
      <c r="A40">
        <v>1039</v>
      </c>
      <c r="B40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  <c r="I40" s="10">
        <f t="shared" si="0"/>
        <v>2340</v>
      </c>
      <c r="J40" s="8">
        <v>0</v>
      </c>
      <c r="K40">
        <v>2600</v>
      </c>
      <c r="L40" t="s">
        <v>53</v>
      </c>
    </row>
    <row r="41" spans="1:12" x14ac:dyDescent="0.35">
      <c r="A41">
        <v>1040</v>
      </c>
      <c r="B4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  <c r="I41" s="10">
        <f t="shared" si="0"/>
        <v>52200</v>
      </c>
      <c r="J41" s="8">
        <v>0</v>
      </c>
      <c r="K41">
        <v>290000</v>
      </c>
      <c r="L41" t="s">
        <v>53</v>
      </c>
    </row>
    <row r="42" spans="1:12" x14ac:dyDescent="0.35">
      <c r="A42">
        <v>1041</v>
      </c>
      <c r="B42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  <c r="I42" s="10">
        <f t="shared" si="0"/>
        <v>9900</v>
      </c>
      <c r="J42" s="8">
        <v>0</v>
      </c>
      <c r="K42">
        <v>22000</v>
      </c>
      <c r="L42" t="s">
        <v>52</v>
      </c>
    </row>
    <row r="43" spans="1:12" x14ac:dyDescent="0.35">
      <c r="A43">
        <v>1042</v>
      </c>
      <c r="B43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  <c r="I43" s="10">
        <f t="shared" si="0"/>
        <v>1980</v>
      </c>
      <c r="J43" s="8">
        <v>0</v>
      </c>
      <c r="K43">
        <v>11000</v>
      </c>
      <c r="L43" t="s">
        <v>52</v>
      </c>
    </row>
    <row r="44" spans="1:12" x14ac:dyDescent="0.35">
      <c r="A44">
        <v>1043</v>
      </c>
      <c r="B44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  <c r="I44" s="10">
        <f t="shared" si="0"/>
        <v>49500</v>
      </c>
      <c r="J44" s="8">
        <v>5</v>
      </c>
      <c r="K44">
        <v>165000</v>
      </c>
      <c r="L44" t="s">
        <v>52</v>
      </c>
    </row>
    <row r="45" spans="1:12" x14ac:dyDescent="0.35">
      <c r="A45">
        <v>1044</v>
      </c>
      <c r="B45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  <c r="I45" s="10">
        <f t="shared" si="0"/>
        <v>3150</v>
      </c>
      <c r="J45" s="8">
        <v>0</v>
      </c>
      <c r="K45">
        <v>14000</v>
      </c>
      <c r="L45" t="s">
        <v>52</v>
      </c>
    </row>
    <row r="46" spans="1:12" x14ac:dyDescent="0.35">
      <c r="A46">
        <v>1045</v>
      </c>
      <c r="B46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  <c r="I46" s="10">
        <f t="shared" si="0"/>
        <v>19800</v>
      </c>
      <c r="J46" s="8">
        <v>0</v>
      </c>
      <c r="K46">
        <v>44000</v>
      </c>
      <c r="L46" t="s">
        <v>52</v>
      </c>
    </row>
    <row r="47" spans="1:12" x14ac:dyDescent="0.35">
      <c r="A47">
        <v>1046</v>
      </c>
      <c r="B47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  <c r="I47" s="10">
        <f t="shared" si="0"/>
        <v>2250</v>
      </c>
      <c r="J47" s="8">
        <v>5</v>
      </c>
      <c r="K47">
        <v>15000</v>
      </c>
      <c r="L47" t="s">
        <v>52</v>
      </c>
    </row>
    <row r="48" spans="1:12" x14ac:dyDescent="0.35">
      <c r="A48">
        <v>1047</v>
      </c>
      <c r="B48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  <c r="I48" s="10">
        <f t="shared" si="0"/>
        <v>10800</v>
      </c>
      <c r="J48" s="8">
        <v>10</v>
      </c>
      <c r="K48">
        <v>36000</v>
      </c>
      <c r="L48" t="s">
        <v>52</v>
      </c>
    </row>
    <row r="49" spans="1:12" x14ac:dyDescent="0.35">
      <c r="A49">
        <v>1048</v>
      </c>
      <c r="B49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  <c r="I49" s="10">
        <f t="shared" si="0"/>
        <v>1800</v>
      </c>
      <c r="J49" s="8">
        <v>0</v>
      </c>
      <c r="K49">
        <v>2000</v>
      </c>
      <c r="L49" t="s">
        <v>52</v>
      </c>
    </row>
    <row r="50" spans="1:12" x14ac:dyDescent="0.35">
      <c r="A50">
        <v>1049</v>
      </c>
      <c r="B50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  <c r="I50" s="10">
        <f t="shared" si="0"/>
        <v>2700</v>
      </c>
      <c r="J50" s="8">
        <v>0</v>
      </c>
      <c r="K50">
        <v>3000</v>
      </c>
      <c r="L50" t="s">
        <v>52</v>
      </c>
    </row>
    <row r="51" spans="1:12" x14ac:dyDescent="0.35">
      <c r="A51">
        <v>1050</v>
      </c>
      <c r="B5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  <c r="I51" s="10">
        <f t="shared" si="0"/>
        <v>54000</v>
      </c>
      <c r="J51" s="8">
        <v>5</v>
      </c>
      <c r="K51">
        <v>600000</v>
      </c>
      <c r="L51" t="s">
        <v>52</v>
      </c>
    </row>
    <row r="52" spans="1:12" x14ac:dyDescent="0.35">
      <c r="A52">
        <v>1051</v>
      </c>
      <c r="B52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  <c r="I52" s="10">
        <f t="shared" si="0"/>
        <v>40500</v>
      </c>
      <c r="J52" s="8">
        <v>0</v>
      </c>
      <c r="K52">
        <v>90000</v>
      </c>
      <c r="L52" t="s">
        <v>53</v>
      </c>
    </row>
    <row r="53" spans="1:12" x14ac:dyDescent="0.35">
      <c r="A53">
        <v>1052</v>
      </c>
      <c r="B53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  <c r="I53" s="10">
        <f t="shared" si="0"/>
        <v>720</v>
      </c>
      <c r="J53" s="8">
        <v>10</v>
      </c>
      <c r="K53">
        <v>2400</v>
      </c>
      <c r="L53" t="s">
        <v>53</v>
      </c>
    </row>
    <row r="54" spans="1:12" x14ac:dyDescent="0.35">
      <c r="A54">
        <v>1053</v>
      </c>
      <c r="B54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  <c r="I54" s="10">
        <f t="shared" si="0"/>
        <v>18900</v>
      </c>
      <c r="J54" s="8">
        <v>0</v>
      </c>
      <c r="K54">
        <v>42000</v>
      </c>
      <c r="L54" t="s">
        <v>53</v>
      </c>
    </row>
    <row r="55" spans="1:12" x14ac:dyDescent="0.35">
      <c r="A55">
        <v>1054</v>
      </c>
      <c r="B55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  <c r="I55" s="10">
        <f t="shared" si="0"/>
        <v>3150</v>
      </c>
      <c r="J55" s="8">
        <v>5</v>
      </c>
      <c r="K55">
        <v>3500</v>
      </c>
      <c r="L55" t="s">
        <v>53</v>
      </c>
    </row>
    <row r="56" spans="1:12" x14ac:dyDescent="0.35">
      <c r="A56">
        <v>1055</v>
      </c>
      <c r="B56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  <c r="I56" s="10">
        <f t="shared" si="0"/>
        <v>2340</v>
      </c>
      <c r="J56" s="8">
        <v>0</v>
      </c>
      <c r="K56">
        <v>2600</v>
      </c>
      <c r="L56" t="s">
        <v>53</v>
      </c>
    </row>
    <row r="57" spans="1:12" x14ac:dyDescent="0.35">
      <c r="A57">
        <v>1056</v>
      </c>
      <c r="B57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  <c r="I57" s="10">
        <f t="shared" si="0"/>
        <v>52200</v>
      </c>
      <c r="J57" s="8">
        <v>0</v>
      </c>
      <c r="K57">
        <v>232000</v>
      </c>
      <c r="L57" t="s">
        <v>53</v>
      </c>
    </row>
    <row r="58" spans="1:12" x14ac:dyDescent="0.35">
      <c r="A58">
        <v>1057</v>
      </c>
      <c r="B58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  <c r="I58" s="10">
        <f t="shared" si="0"/>
        <v>9900</v>
      </c>
      <c r="J58" s="8">
        <v>15</v>
      </c>
      <c r="K58">
        <v>22000</v>
      </c>
      <c r="L58" t="s">
        <v>53</v>
      </c>
    </row>
    <row r="59" spans="1:12" x14ac:dyDescent="0.35">
      <c r="A59">
        <v>1058</v>
      </c>
      <c r="B59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  <c r="I59" s="10">
        <f t="shared" si="0"/>
        <v>1980</v>
      </c>
      <c r="J59" s="8">
        <v>5</v>
      </c>
      <c r="K59">
        <v>2200</v>
      </c>
      <c r="L59" t="s">
        <v>53</v>
      </c>
    </row>
    <row r="60" spans="1:12" x14ac:dyDescent="0.35">
      <c r="A60">
        <v>1059</v>
      </c>
      <c r="B60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  <c r="I60" s="10">
        <f t="shared" si="0"/>
        <v>2880</v>
      </c>
      <c r="J60" s="8">
        <v>0</v>
      </c>
      <c r="K60">
        <v>3200</v>
      </c>
      <c r="L60" t="s">
        <v>53</v>
      </c>
    </row>
    <row r="61" spans="1:12" x14ac:dyDescent="0.35">
      <c r="A61">
        <v>1060</v>
      </c>
      <c r="B6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  <c r="I61" s="10">
        <f t="shared" si="0"/>
        <v>42300</v>
      </c>
      <c r="J61" s="8">
        <v>10</v>
      </c>
      <c r="K61">
        <v>235000</v>
      </c>
      <c r="L61" t="s">
        <v>53</v>
      </c>
    </row>
    <row r="62" spans="1:12" x14ac:dyDescent="0.35">
      <c r="A62">
        <v>1061</v>
      </c>
      <c r="B62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  <c r="I62" s="10">
        <f t="shared" si="0"/>
        <v>53100</v>
      </c>
      <c r="J62" s="8">
        <v>0</v>
      </c>
      <c r="K62">
        <v>118000</v>
      </c>
      <c r="L62" t="s">
        <v>52</v>
      </c>
    </row>
    <row r="63" spans="1:12" x14ac:dyDescent="0.35">
      <c r="A63">
        <v>1062</v>
      </c>
      <c r="B63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  <c r="I63" s="10">
        <f t="shared" si="0"/>
        <v>765</v>
      </c>
      <c r="J63" s="8">
        <v>0</v>
      </c>
      <c r="K63">
        <v>4250</v>
      </c>
      <c r="L63" t="s">
        <v>52</v>
      </c>
    </row>
    <row r="64" spans="1:12" x14ac:dyDescent="0.35">
      <c r="A64">
        <v>1063</v>
      </c>
      <c r="B64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  <c r="I64" s="10">
        <f t="shared" si="0"/>
        <v>3150</v>
      </c>
      <c r="J64" s="8">
        <v>5</v>
      </c>
      <c r="K64">
        <v>10500</v>
      </c>
      <c r="L64" t="s">
        <v>52</v>
      </c>
    </row>
    <row r="65" spans="1:12" x14ac:dyDescent="0.35">
      <c r="A65">
        <v>1064</v>
      </c>
      <c r="B65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  <c r="I65" s="10">
        <f t="shared" si="0"/>
        <v>2340</v>
      </c>
      <c r="J65" s="8">
        <v>0</v>
      </c>
      <c r="K65">
        <v>10400</v>
      </c>
      <c r="L65" t="s">
        <v>52</v>
      </c>
    </row>
    <row r="66" spans="1:12" x14ac:dyDescent="0.35">
      <c r="A66">
        <v>1065</v>
      </c>
      <c r="B66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  <c r="I66" s="10">
        <f t="shared" si="0"/>
        <v>52200</v>
      </c>
      <c r="J66" s="8">
        <v>0</v>
      </c>
      <c r="K66">
        <v>116000</v>
      </c>
      <c r="L66" t="s">
        <v>52</v>
      </c>
    </row>
    <row r="67" spans="1:12" x14ac:dyDescent="0.35">
      <c r="A67">
        <v>1066</v>
      </c>
      <c r="B67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  <c r="I67" s="10">
        <f t="shared" si="0"/>
        <v>9900</v>
      </c>
      <c r="J67" s="8">
        <v>5</v>
      </c>
      <c r="K67">
        <v>66000</v>
      </c>
      <c r="L67" t="s">
        <v>52</v>
      </c>
    </row>
    <row r="68" spans="1:12" x14ac:dyDescent="0.35">
      <c r="A68">
        <v>1067</v>
      </c>
      <c r="B68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  <c r="I68" s="10">
        <f t="shared" si="0"/>
        <v>1980</v>
      </c>
      <c r="J68" s="8">
        <v>10</v>
      </c>
      <c r="K68">
        <v>6600</v>
      </c>
      <c r="L68" t="s">
        <v>52</v>
      </c>
    </row>
    <row r="69" spans="1:12" x14ac:dyDescent="0.35">
      <c r="A69">
        <v>1068</v>
      </c>
      <c r="B69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  <c r="I69" s="10">
        <f t="shared" si="0"/>
        <v>2880</v>
      </c>
      <c r="J69" s="8">
        <v>0</v>
      </c>
      <c r="K69">
        <v>3200</v>
      </c>
      <c r="L69" t="s">
        <v>52</v>
      </c>
    </row>
    <row r="70" spans="1:12" x14ac:dyDescent="0.35">
      <c r="A70">
        <v>1069</v>
      </c>
      <c r="B70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  <c r="I70" s="10">
        <f t="shared" si="0"/>
        <v>42300</v>
      </c>
      <c r="J70" s="8">
        <v>0</v>
      </c>
      <c r="K70">
        <v>47000</v>
      </c>
      <c r="L70" t="s">
        <v>52</v>
      </c>
    </row>
    <row r="71" spans="1:12" x14ac:dyDescent="0.35">
      <c r="A71">
        <v>1070</v>
      </c>
      <c r="B7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  <c r="I71" s="10">
        <f t="shared" si="0"/>
        <v>53100</v>
      </c>
      <c r="J71" s="8">
        <v>5</v>
      </c>
      <c r="K71">
        <v>590000</v>
      </c>
      <c r="L71" t="s">
        <v>52</v>
      </c>
    </row>
    <row r="72" spans="1:12" x14ac:dyDescent="0.35">
      <c r="A72">
        <v>1071</v>
      </c>
      <c r="B72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  <c r="I72" s="10">
        <f t="shared" si="0"/>
        <v>765</v>
      </c>
      <c r="J72" s="8">
        <v>0</v>
      </c>
      <c r="K72">
        <v>1700</v>
      </c>
      <c r="L72" t="s">
        <v>53</v>
      </c>
    </row>
    <row r="73" spans="1:12" x14ac:dyDescent="0.35">
      <c r="A73">
        <v>1072</v>
      </c>
      <c r="B73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  <c r="I73" s="10">
        <f t="shared" si="0"/>
        <v>2250</v>
      </c>
      <c r="J73" s="8">
        <v>10</v>
      </c>
      <c r="K73">
        <v>7500</v>
      </c>
      <c r="L73" t="s">
        <v>53</v>
      </c>
    </row>
    <row r="74" spans="1:12" x14ac:dyDescent="0.35">
      <c r="A74">
        <v>1073</v>
      </c>
      <c r="B74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  <c r="I74" s="10">
        <f t="shared" si="0"/>
        <v>10800</v>
      </c>
      <c r="J74" s="8">
        <v>0</v>
      </c>
      <c r="K74">
        <v>24000</v>
      </c>
      <c r="L74" t="s">
        <v>53</v>
      </c>
    </row>
    <row r="75" spans="1:12" x14ac:dyDescent="0.35">
      <c r="A75">
        <v>1074</v>
      </c>
      <c r="B75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  <c r="I75" s="10">
        <f t="shared" si="0"/>
        <v>1800</v>
      </c>
      <c r="J75" s="8">
        <v>5</v>
      </c>
      <c r="K75">
        <v>2000</v>
      </c>
      <c r="L75" t="s">
        <v>53</v>
      </c>
    </row>
    <row r="76" spans="1:12" x14ac:dyDescent="0.35">
      <c r="A76">
        <v>1075</v>
      </c>
      <c r="B76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  <c r="I76" s="10">
        <f t="shared" si="0"/>
        <v>2700</v>
      </c>
      <c r="J76" s="8">
        <v>0</v>
      </c>
      <c r="K76">
        <v>3000</v>
      </c>
      <c r="L76" t="s">
        <v>53</v>
      </c>
    </row>
    <row r="77" spans="1:12" x14ac:dyDescent="0.35">
      <c r="A77">
        <v>1076</v>
      </c>
      <c r="B77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  <c r="I77" s="10">
        <f t="shared" si="0"/>
        <v>54000</v>
      </c>
      <c r="J77" s="8">
        <v>0</v>
      </c>
      <c r="K77">
        <v>240000</v>
      </c>
      <c r="L77" t="s">
        <v>53</v>
      </c>
    </row>
    <row r="78" spans="1:12" x14ac:dyDescent="0.35">
      <c r="A78">
        <v>1077</v>
      </c>
      <c r="B78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45000</v>
      </c>
      <c r="I78" s="10">
        <f t="shared" si="0"/>
        <v>40500</v>
      </c>
      <c r="J78" s="8">
        <v>15</v>
      </c>
      <c r="K78">
        <v>90000</v>
      </c>
      <c r="L78" t="s">
        <v>53</v>
      </c>
    </row>
    <row r="79" spans="1:12" x14ac:dyDescent="0.35">
      <c r="A79">
        <v>1078</v>
      </c>
      <c r="B79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  <c r="I79" s="10">
        <f t="shared" si="0"/>
        <v>720</v>
      </c>
      <c r="J79" s="8">
        <v>5</v>
      </c>
      <c r="K79">
        <v>800</v>
      </c>
      <c r="L79" t="s">
        <v>53</v>
      </c>
    </row>
    <row r="80" spans="1:12" x14ac:dyDescent="0.35">
      <c r="A80">
        <v>1079</v>
      </c>
      <c r="B80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  <c r="I80" s="10">
        <f t="shared" si="0"/>
        <v>18900</v>
      </c>
      <c r="J80" s="8">
        <v>0</v>
      </c>
      <c r="K80">
        <v>21000</v>
      </c>
      <c r="L80" t="s">
        <v>53</v>
      </c>
    </row>
    <row r="81" spans="1:12" x14ac:dyDescent="0.35">
      <c r="A81">
        <v>1080</v>
      </c>
      <c r="B8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  <c r="I81" s="10">
        <f t="shared" si="0"/>
        <v>3150</v>
      </c>
      <c r="J81" s="8">
        <v>10</v>
      </c>
      <c r="K81">
        <v>17500</v>
      </c>
      <c r="L81" t="s">
        <v>53</v>
      </c>
    </row>
    <row r="82" spans="1:12" x14ac:dyDescent="0.35">
      <c r="A82">
        <v>1081</v>
      </c>
      <c r="B82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  <c r="I82" s="10">
        <f t="shared" si="0"/>
        <v>2340</v>
      </c>
      <c r="J82" s="8">
        <v>0</v>
      </c>
      <c r="K82">
        <v>5200</v>
      </c>
      <c r="L82" t="s">
        <v>52</v>
      </c>
    </row>
    <row r="83" spans="1:12" x14ac:dyDescent="0.35">
      <c r="A83">
        <v>1082</v>
      </c>
      <c r="B83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  <c r="I83" s="10">
        <f t="shared" si="0"/>
        <v>52200</v>
      </c>
      <c r="J83" s="8">
        <v>0</v>
      </c>
      <c r="K83">
        <v>290000</v>
      </c>
      <c r="L83" t="s">
        <v>52</v>
      </c>
    </row>
    <row r="84" spans="1:12" x14ac:dyDescent="0.35">
      <c r="A84">
        <v>1083</v>
      </c>
      <c r="B84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  <c r="I84" s="10">
        <f t="shared" si="0"/>
        <v>9900</v>
      </c>
      <c r="J84" s="8">
        <v>5</v>
      </c>
      <c r="K84">
        <v>33000</v>
      </c>
      <c r="L84" t="s">
        <v>52</v>
      </c>
    </row>
    <row r="85" spans="1:12" x14ac:dyDescent="0.35">
      <c r="A85">
        <v>1084</v>
      </c>
      <c r="B85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  <c r="I85" s="10">
        <f t="shared" si="0"/>
        <v>1980</v>
      </c>
      <c r="J85" s="8">
        <v>0</v>
      </c>
      <c r="K85">
        <v>8800</v>
      </c>
      <c r="L85" t="s">
        <v>52</v>
      </c>
    </row>
    <row r="86" spans="1:12" x14ac:dyDescent="0.35">
      <c r="A86">
        <v>1085</v>
      </c>
      <c r="B86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  <c r="I86" s="10">
        <f t="shared" si="0"/>
        <v>49500</v>
      </c>
      <c r="J86" s="8">
        <v>0</v>
      </c>
      <c r="K86">
        <v>110000</v>
      </c>
      <c r="L86" t="s">
        <v>52</v>
      </c>
    </row>
    <row r="87" spans="1:12" x14ac:dyDescent="0.35">
      <c r="A87">
        <v>1086</v>
      </c>
      <c r="B87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  <c r="I87" s="10">
        <f t="shared" ref="I87:I150" si="1">H87*90%</f>
        <v>3150</v>
      </c>
      <c r="J87" s="8">
        <v>5</v>
      </c>
      <c r="K87">
        <v>21000</v>
      </c>
      <c r="L87" t="s">
        <v>52</v>
      </c>
    </row>
    <row r="88" spans="1:12" x14ac:dyDescent="0.35">
      <c r="A88">
        <v>1087</v>
      </c>
      <c r="B88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  <c r="I88" s="10">
        <f t="shared" si="1"/>
        <v>19800</v>
      </c>
      <c r="J88" s="8">
        <v>10</v>
      </c>
      <c r="K88">
        <v>66000</v>
      </c>
      <c r="L88" t="s">
        <v>52</v>
      </c>
    </row>
    <row r="89" spans="1:12" x14ac:dyDescent="0.35">
      <c r="A89">
        <v>1088</v>
      </c>
      <c r="B89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  <c r="I89" s="10">
        <f t="shared" si="1"/>
        <v>2250</v>
      </c>
      <c r="J89" s="8">
        <v>0</v>
      </c>
      <c r="K89">
        <v>2500</v>
      </c>
      <c r="L89" t="s">
        <v>52</v>
      </c>
    </row>
    <row r="90" spans="1:12" x14ac:dyDescent="0.35">
      <c r="A90">
        <v>1089</v>
      </c>
      <c r="B90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  <c r="I90" s="10">
        <f t="shared" si="1"/>
        <v>10800</v>
      </c>
      <c r="J90" s="8">
        <v>0</v>
      </c>
      <c r="K90">
        <v>12000</v>
      </c>
      <c r="L90" t="s">
        <v>52</v>
      </c>
    </row>
    <row r="91" spans="1:12" x14ac:dyDescent="0.35">
      <c r="A91">
        <v>1090</v>
      </c>
      <c r="B9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  <c r="I91" s="10">
        <f t="shared" si="1"/>
        <v>1800</v>
      </c>
      <c r="J91" s="8">
        <v>5</v>
      </c>
      <c r="K91">
        <v>20000</v>
      </c>
      <c r="L91" t="s">
        <v>52</v>
      </c>
    </row>
    <row r="92" spans="1:12" x14ac:dyDescent="0.35">
      <c r="A92">
        <v>1091</v>
      </c>
      <c r="B92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  <c r="I92" s="10">
        <f t="shared" si="1"/>
        <v>2700</v>
      </c>
      <c r="J92" s="8">
        <v>0</v>
      </c>
      <c r="K92">
        <v>6000</v>
      </c>
      <c r="L92" t="s">
        <v>53</v>
      </c>
    </row>
    <row r="93" spans="1:12" x14ac:dyDescent="0.35">
      <c r="A93">
        <v>1092</v>
      </c>
      <c r="B93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  <c r="I93" s="10">
        <f t="shared" si="1"/>
        <v>54000</v>
      </c>
      <c r="J93" s="8">
        <v>10</v>
      </c>
      <c r="K93">
        <v>180000</v>
      </c>
      <c r="L93" t="s">
        <v>53</v>
      </c>
    </row>
    <row r="94" spans="1:12" x14ac:dyDescent="0.35">
      <c r="A94">
        <v>1093</v>
      </c>
      <c r="B94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  <c r="I94" s="10">
        <f t="shared" si="1"/>
        <v>40500</v>
      </c>
      <c r="J94" s="8">
        <v>0</v>
      </c>
      <c r="K94">
        <v>90000</v>
      </c>
      <c r="L94" t="s">
        <v>53</v>
      </c>
    </row>
    <row r="95" spans="1:12" x14ac:dyDescent="0.35">
      <c r="A95">
        <v>1094</v>
      </c>
      <c r="B95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  <c r="I95" s="10">
        <f t="shared" si="1"/>
        <v>720</v>
      </c>
      <c r="J95" s="8">
        <v>5</v>
      </c>
      <c r="K95">
        <v>800</v>
      </c>
      <c r="L95" t="s">
        <v>53</v>
      </c>
    </row>
    <row r="96" spans="1:12" x14ac:dyDescent="0.35">
      <c r="A96">
        <v>1095</v>
      </c>
      <c r="B96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  <c r="I96" s="10">
        <f t="shared" si="1"/>
        <v>18900</v>
      </c>
      <c r="J96" s="8">
        <v>0</v>
      </c>
      <c r="K96">
        <v>21000</v>
      </c>
      <c r="L96" t="s">
        <v>53</v>
      </c>
    </row>
    <row r="97" spans="1:12" x14ac:dyDescent="0.35">
      <c r="A97">
        <v>1096</v>
      </c>
      <c r="B97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  <c r="I97" s="10">
        <f t="shared" si="1"/>
        <v>3150</v>
      </c>
      <c r="J97" s="8">
        <v>0</v>
      </c>
      <c r="K97">
        <v>14000</v>
      </c>
      <c r="L97" t="s">
        <v>53</v>
      </c>
    </row>
    <row r="98" spans="1:12" x14ac:dyDescent="0.35">
      <c r="A98">
        <v>1097</v>
      </c>
      <c r="B98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  <c r="I98" s="10">
        <f t="shared" si="1"/>
        <v>2340</v>
      </c>
      <c r="J98" s="8">
        <v>15</v>
      </c>
      <c r="K98">
        <v>5200</v>
      </c>
      <c r="L98" t="s">
        <v>53</v>
      </c>
    </row>
    <row r="99" spans="1:12" x14ac:dyDescent="0.35">
      <c r="A99">
        <v>1098</v>
      </c>
      <c r="B99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  <c r="I99" s="10">
        <f t="shared" si="1"/>
        <v>52200</v>
      </c>
      <c r="J99" s="8">
        <v>5</v>
      </c>
      <c r="K99">
        <v>58000</v>
      </c>
      <c r="L99" t="s">
        <v>53</v>
      </c>
    </row>
    <row r="100" spans="1:12" x14ac:dyDescent="0.35">
      <c r="A100">
        <v>1099</v>
      </c>
      <c r="B100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  <c r="I100" s="10">
        <f t="shared" si="1"/>
        <v>9900</v>
      </c>
      <c r="J100" s="8">
        <v>0</v>
      </c>
      <c r="K100">
        <v>11000</v>
      </c>
      <c r="L100" t="s">
        <v>53</v>
      </c>
    </row>
    <row r="101" spans="1:12" x14ac:dyDescent="0.35">
      <c r="A101">
        <v>1100</v>
      </c>
      <c r="B10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  <c r="I101" s="10">
        <f t="shared" si="1"/>
        <v>1980</v>
      </c>
      <c r="J101" s="8">
        <v>10</v>
      </c>
      <c r="K101">
        <v>11000</v>
      </c>
      <c r="L101" t="s">
        <v>53</v>
      </c>
    </row>
    <row r="102" spans="1:12" x14ac:dyDescent="0.35">
      <c r="A102">
        <v>1101</v>
      </c>
      <c r="B102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  <c r="I102" s="10">
        <f t="shared" si="1"/>
        <v>2880</v>
      </c>
      <c r="J102" s="8">
        <v>0</v>
      </c>
      <c r="K102">
        <v>6400</v>
      </c>
      <c r="L102" t="s">
        <v>52</v>
      </c>
    </row>
    <row r="103" spans="1:12" x14ac:dyDescent="0.35">
      <c r="A103">
        <v>1102</v>
      </c>
      <c r="B103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  <c r="I103" s="10">
        <f t="shared" si="1"/>
        <v>42300</v>
      </c>
      <c r="J103" s="8">
        <v>0</v>
      </c>
      <c r="K103">
        <v>235000</v>
      </c>
      <c r="L103" t="s">
        <v>52</v>
      </c>
    </row>
    <row r="104" spans="1:12" x14ac:dyDescent="0.35">
      <c r="A104">
        <v>1103</v>
      </c>
      <c r="B104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  <c r="I104" s="10">
        <f t="shared" si="1"/>
        <v>53100</v>
      </c>
      <c r="J104" s="8">
        <v>5</v>
      </c>
      <c r="K104">
        <v>177000</v>
      </c>
      <c r="L104" t="s">
        <v>52</v>
      </c>
    </row>
    <row r="105" spans="1:12" x14ac:dyDescent="0.35">
      <c r="A105">
        <v>1104</v>
      </c>
      <c r="B105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  <c r="I105" s="10">
        <f t="shared" si="1"/>
        <v>765</v>
      </c>
      <c r="J105" s="8">
        <v>0</v>
      </c>
      <c r="K105">
        <v>3400</v>
      </c>
      <c r="L105" t="s">
        <v>52</v>
      </c>
    </row>
    <row r="106" spans="1:12" x14ac:dyDescent="0.35">
      <c r="A106">
        <v>1105</v>
      </c>
      <c r="B106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  <c r="I106" s="10">
        <f t="shared" si="1"/>
        <v>3150</v>
      </c>
      <c r="J106" s="8">
        <v>0</v>
      </c>
      <c r="K106">
        <v>7000</v>
      </c>
      <c r="L106" t="s">
        <v>52</v>
      </c>
    </row>
    <row r="107" spans="1:12" x14ac:dyDescent="0.35">
      <c r="A107">
        <v>1106</v>
      </c>
      <c r="B107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  <c r="I107" s="10">
        <f t="shared" si="1"/>
        <v>2340</v>
      </c>
      <c r="J107" s="8">
        <v>5</v>
      </c>
      <c r="K107">
        <v>15600</v>
      </c>
      <c r="L107" t="s">
        <v>52</v>
      </c>
    </row>
    <row r="108" spans="1:12" x14ac:dyDescent="0.35">
      <c r="A108">
        <v>1107</v>
      </c>
      <c r="B108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  <c r="I108" s="10">
        <f t="shared" si="1"/>
        <v>52200</v>
      </c>
      <c r="J108" s="8">
        <v>10</v>
      </c>
      <c r="K108">
        <v>174000</v>
      </c>
      <c r="L108" t="s">
        <v>52</v>
      </c>
    </row>
    <row r="109" spans="1:12" x14ac:dyDescent="0.35">
      <c r="A109">
        <v>1108</v>
      </c>
      <c r="B109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  <c r="I109" s="10">
        <f t="shared" si="1"/>
        <v>9900</v>
      </c>
      <c r="J109" s="8">
        <v>0</v>
      </c>
      <c r="K109">
        <v>11000</v>
      </c>
      <c r="L109" t="s">
        <v>52</v>
      </c>
    </row>
    <row r="110" spans="1:12" x14ac:dyDescent="0.35">
      <c r="A110">
        <v>1109</v>
      </c>
      <c r="B110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  <c r="I110" s="10">
        <f t="shared" si="1"/>
        <v>1980</v>
      </c>
      <c r="J110" s="8">
        <v>0</v>
      </c>
      <c r="K110">
        <v>2200</v>
      </c>
      <c r="L110" t="s">
        <v>52</v>
      </c>
    </row>
    <row r="111" spans="1:12" x14ac:dyDescent="0.35">
      <c r="A111">
        <v>1110</v>
      </c>
      <c r="B11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  <c r="I111" s="10">
        <f t="shared" si="1"/>
        <v>2880</v>
      </c>
      <c r="J111" s="8">
        <v>0</v>
      </c>
      <c r="K111">
        <v>32000</v>
      </c>
      <c r="L111" t="s">
        <v>52</v>
      </c>
    </row>
    <row r="112" spans="1:12" x14ac:dyDescent="0.35">
      <c r="A112">
        <v>1111</v>
      </c>
      <c r="B112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  <c r="I112" s="10">
        <f t="shared" si="1"/>
        <v>42300</v>
      </c>
      <c r="J112" s="8">
        <v>0</v>
      </c>
      <c r="K112">
        <v>94000</v>
      </c>
      <c r="L112" t="s">
        <v>53</v>
      </c>
    </row>
    <row r="113" spans="1:12" x14ac:dyDescent="0.35">
      <c r="A113">
        <v>1112</v>
      </c>
      <c r="B113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  <c r="I113" s="10">
        <f t="shared" si="1"/>
        <v>53100</v>
      </c>
      <c r="J113" s="8">
        <v>5</v>
      </c>
      <c r="K113">
        <v>177000</v>
      </c>
      <c r="L113" t="s">
        <v>53</v>
      </c>
    </row>
    <row r="114" spans="1:12" x14ac:dyDescent="0.35">
      <c r="A114">
        <v>1113</v>
      </c>
      <c r="B114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  <c r="I114" s="10">
        <f t="shared" si="1"/>
        <v>765</v>
      </c>
      <c r="J114" s="8">
        <v>0</v>
      </c>
      <c r="K114">
        <v>1700</v>
      </c>
      <c r="L114" t="s">
        <v>53</v>
      </c>
    </row>
    <row r="115" spans="1:12" x14ac:dyDescent="0.35">
      <c r="A115">
        <v>1114</v>
      </c>
      <c r="B115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  <c r="I115" s="10">
        <f t="shared" si="1"/>
        <v>2250</v>
      </c>
      <c r="J115" s="8">
        <v>0</v>
      </c>
      <c r="K115">
        <v>2500</v>
      </c>
      <c r="L115" t="s">
        <v>53</v>
      </c>
    </row>
    <row r="116" spans="1:12" x14ac:dyDescent="0.35">
      <c r="A116">
        <v>1115</v>
      </c>
      <c r="B116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  <c r="I116" s="10">
        <f t="shared" si="1"/>
        <v>10800</v>
      </c>
      <c r="J116" s="8">
        <v>5</v>
      </c>
      <c r="K116">
        <v>12000</v>
      </c>
      <c r="L116" t="s">
        <v>53</v>
      </c>
    </row>
    <row r="117" spans="1:12" x14ac:dyDescent="0.35">
      <c r="A117">
        <v>1116</v>
      </c>
      <c r="B117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  <c r="I117" s="10">
        <f t="shared" si="1"/>
        <v>1800</v>
      </c>
      <c r="J117" s="8">
        <v>10</v>
      </c>
      <c r="K117">
        <v>8000</v>
      </c>
      <c r="L117" t="s">
        <v>53</v>
      </c>
    </row>
    <row r="118" spans="1:12" x14ac:dyDescent="0.35">
      <c r="A118">
        <v>1117</v>
      </c>
      <c r="B118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  <c r="I118" s="10">
        <f t="shared" si="1"/>
        <v>2700</v>
      </c>
      <c r="J118" s="8">
        <v>0</v>
      </c>
      <c r="K118">
        <v>6000</v>
      </c>
      <c r="L118" t="s">
        <v>53</v>
      </c>
    </row>
    <row r="119" spans="1:12" x14ac:dyDescent="0.35">
      <c r="A119">
        <v>1118</v>
      </c>
      <c r="B119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  <c r="I119" s="10">
        <f t="shared" si="1"/>
        <v>54000</v>
      </c>
      <c r="J119" s="8">
        <v>0</v>
      </c>
      <c r="K119">
        <v>60000</v>
      </c>
      <c r="L119" t="s">
        <v>53</v>
      </c>
    </row>
    <row r="120" spans="1:12" x14ac:dyDescent="0.35">
      <c r="A120">
        <v>1119</v>
      </c>
      <c r="B120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  <c r="I120" s="10">
        <f t="shared" si="1"/>
        <v>40500</v>
      </c>
      <c r="J120" s="8">
        <v>5</v>
      </c>
      <c r="K120">
        <v>45000</v>
      </c>
      <c r="L120" t="s">
        <v>53</v>
      </c>
    </row>
    <row r="121" spans="1:12" x14ac:dyDescent="0.35">
      <c r="A121">
        <v>1120</v>
      </c>
      <c r="B12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  <c r="I121" s="10">
        <f t="shared" si="1"/>
        <v>720</v>
      </c>
      <c r="J121" s="8">
        <v>0</v>
      </c>
      <c r="K121">
        <v>4000</v>
      </c>
      <c r="L121" t="s">
        <v>53</v>
      </c>
    </row>
    <row r="122" spans="1:12" x14ac:dyDescent="0.35">
      <c r="A122">
        <v>1121</v>
      </c>
      <c r="B122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  <c r="I122" s="10">
        <f t="shared" si="1"/>
        <v>18900</v>
      </c>
      <c r="J122" s="8">
        <v>10</v>
      </c>
      <c r="K122">
        <v>42000</v>
      </c>
      <c r="L122" t="s">
        <v>52</v>
      </c>
    </row>
    <row r="123" spans="1:12" x14ac:dyDescent="0.35">
      <c r="A123">
        <v>1122</v>
      </c>
      <c r="B123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  <c r="I123" s="10">
        <f t="shared" si="1"/>
        <v>3150</v>
      </c>
      <c r="J123" s="8">
        <v>0</v>
      </c>
      <c r="K123">
        <v>17500</v>
      </c>
      <c r="L123" t="s">
        <v>52</v>
      </c>
    </row>
    <row r="124" spans="1:12" x14ac:dyDescent="0.35">
      <c r="A124">
        <v>1123</v>
      </c>
      <c r="B124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  <c r="I124" s="10">
        <f t="shared" si="1"/>
        <v>2340</v>
      </c>
      <c r="J124" s="8">
        <v>5</v>
      </c>
      <c r="K124">
        <v>7800</v>
      </c>
      <c r="L124" t="s">
        <v>52</v>
      </c>
    </row>
    <row r="125" spans="1:12" x14ac:dyDescent="0.35">
      <c r="A125">
        <v>1124</v>
      </c>
      <c r="B125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  <c r="I125" s="10">
        <f t="shared" si="1"/>
        <v>52200</v>
      </c>
      <c r="J125" s="8">
        <v>0</v>
      </c>
      <c r="K125">
        <v>232000</v>
      </c>
      <c r="L125" t="s">
        <v>52</v>
      </c>
    </row>
    <row r="126" spans="1:12" x14ac:dyDescent="0.35">
      <c r="A126">
        <v>1125</v>
      </c>
      <c r="B126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  <c r="I126" s="10">
        <f t="shared" si="1"/>
        <v>9900</v>
      </c>
      <c r="J126" s="8">
        <v>0</v>
      </c>
      <c r="K126">
        <v>22000</v>
      </c>
      <c r="L126" t="s">
        <v>52</v>
      </c>
    </row>
    <row r="127" spans="1:12" x14ac:dyDescent="0.35">
      <c r="A127">
        <v>1126</v>
      </c>
      <c r="B127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  <c r="I127" s="10">
        <f t="shared" si="1"/>
        <v>1980</v>
      </c>
      <c r="J127" s="8">
        <v>15</v>
      </c>
      <c r="K127">
        <v>13200</v>
      </c>
      <c r="L127" t="s">
        <v>52</v>
      </c>
    </row>
    <row r="128" spans="1:12" x14ac:dyDescent="0.35">
      <c r="A128">
        <v>1127</v>
      </c>
      <c r="B128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  <c r="I128" s="10">
        <f t="shared" si="1"/>
        <v>49500</v>
      </c>
      <c r="J128" s="8">
        <v>5</v>
      </c>
      <c r="K128">
        <v>165000</v>
      </c>
      <c r="L128" t="s">
        <v>52</v>
      </c>
    </row>
    <row r="129" spans="1:12" x14ac:dyDescent="0.35">
      <c r="A129">
        <v>1128</v>
      </c>
      <c r="B129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  <c r="I129" s="10">
        <f t="shared" si="1"/>
        <v>3150</v>
      </c>
      <c r="J129" s="8">
        <v>0</v>
      </c>
      <c r="K129">
        <v>3500</v>
      </c>
      <c r="L129" t="s">
        <v>52</v>
      </c>
    </row>
    <row r="130" spans="1:12" x14ac:dyDescent="0.35">
      <c r="A130">
        <v>1129</v>
      </c>
      <c r="B130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  <c r="I130" s="10">
        <f t="shared" si="1"/>
        <v>19800</v>
      </c>
      <c r="J130" s="8">
        <v>10</v>
      </c>
      <c r="K130">
        <v>22000</v>
      </c>
      <c r="L130" t="s">
        <v>52</v>
      </c>
    </row>
    <row r="131" spans="1:12" x14ac:dyDescent="0.35">
      <c r="A131">
        <v>1130</v>
      </c>
      <c r="B13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  <c r="I131" s="10">
        <f t="shared" si="1"/>
        <v>2250</v>
      </c>
      <c r="J131" s="8">
        <v>0</v>
      </c>
      <c r="K131">
        <v>25000</v>
      </c>
      <c r="L131" t="s">
        <v>52</v>
      </c>
    </row>
    <row r="132" spans="1:12" x14ac:dyDescent="0.35">
      <c r="A132">
        <v>1131</v>
      </c>
      <c r="B132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  <c r="I132" s="10">
        <f t="shared" si="1"/>
        <v>10800</v>
      </c>
      <c r="J132" s="8">
        <v>0</v>
      </c>
      <c r="K132">
        <v>24000</v>
      </c>
      <c r="L132" t="s">
        <v>53</v>
      </c>
    </row>
    <row r="133" spans="1:12" x14ac:dyDescent="0.35">
      <c r="A133">
        <v>1132</v>
      </c>
      <c r="B133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  <c r="I133" s="10">
        <f t="shared" si="1"/>
        <v>1800</v>
      </c>
      <c r="J133" s="8">
        <v>5</v>
      </c>
      <c r="K133">
        <v>6000</v>
      </c>
      <c r="L133" t="s">
        <v>53</v>
      </c>
    </row>
    <row r="134" spans="1:12" x14ac:dyDescent="0.35">
      <c r="A134">
        <v>1133</v>
      </c>
      <c r="B134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  <c r="I134" s="10">
        <f t="shared" si="1"/>
        <v>2700</v>
      </c>
      <c r="J134" s="8">
        <v>0</v>
      </c>
      <c r="K134">
        <v>6000</v>
      </c>
      <c r="L134" t="s">
        <v>53</v>
      </c>
    </row>
    <row r="135" spans="1:12" x14ac:dyDescent="0.35">
      <c r="A135">
        <v>1134</v>
      </c>
      <c r="B135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  <c r="I135" s="10">
        <f t="shared" si="1"/>
        <v>54000</v>
      </c>
      <c r="J135" s="8">
        <v>0</v>
      </c>
      <c r="K135">
        <v>60000</v>
      </c>
      <c r="L135" t="s">
        <v>53</v>
      </c>
    </row>
    <row r="136" spans="1:12" x14ac:dyDescent="0.35">
      <c r="A136">
        <v>1135</v>
      </c>
      <c r="B136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  <c r="I136" s="10">
        <f t="shared" si="1"/>
        <v>40500</v>
      </c>
      <c r="J136" s="8">
        <v>5</v>
      </c>
      <c r="K136">
        <v>45000</v>
      </c>
      <c r="L136" t="s">
        <v>53</v>
      </c>
    </row>
    <row r="137" spans="1:12" x14ac:dyDescent="0.35">
      <c r="A137">
        <v>1136</v>
      </c>
      <c r="B137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  <c r="I137" s="10">
        <f t="shared" si="1"/>
        <v>720</v>
      </c>
      <c r="J137" s="8">
        <v>10</v>
      </c>
      <c r="K137">
        <v>3200</v>
      </c>
      <c r="L137" t="s">
        <v>53</v>
      </c>
    </row>
    <row r="138" spans="1:12" x14ac:dyDescent="0.35">
      <c r="A138">
        <v>1137</v>
      </c>
      <c r="B138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  <c r="I138" s="10">
        <f t="shared" si="1"/>
        <v>18900</v>
      </c>
      <c r="J138" s="8">
        <v>0</v>
      </c>
      <c r="K138">
        <v>42000</v>
      </c>
      <c r="L138" t="s">
        <v>53</v>
      </c>
    </row>
    <row r="139" spans="1:12" x14ac:dyDescent="0.35">
      <c r="A139">
        <v>1138</v>
      </c>
      <c r="B139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  <c r="I139" s="10">
        <f t="shared" si="1"/>
        <v>3150</v>
      </c>
      <c r="J139" s="8">
        <v>0</v>
      </c>
      <c r="K139">
        <v>3500</v>
      </c>
      <c r="L139" t="s">
        <v>53</v>
      </c>
    </row>
    <row r="140" spans="1:12" x14ac:dyDescent="0.35">
      <c r="A140">
        <v>1139</v>
      </c>
      <c r="B140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  <c r="I140" s="10">
        <f t="shared" si="1"/>
        <v>2340</v>
      </c>
      <c r="J140" s="8">
        <v>5</v>
      </c>
      <c r="K140">
        <v>2600</v>
      </c>
      <c r="L140" t="s">
        <v>53</v>
      </c>
    </row>
    <row r="141" spans="1:12" x14ac:dyDescent="0.35">
      <c r="A141">
        <v>1140</v>
      </c>
      <c r="B14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  <c r="I141" s="10">
        <f t="shared" si="1"/>
        <v>52200</v>
      </c>
      <c r="J141" s="8">
        <v>0</v>
      </c>
      <c r="K141">
        <v>290000</v>
      </c>
      <c r="L141" t="s">
        <v>53</v>
      </c>
    </row>
    <row r="142" spans="1:12" x14ac:dyDescent="0.35">
      <c r="A142">
        <v>1141</v>
      </c>
      <c r="B142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  <c r="I142" s="10">
        <f t="shared" si="1"/>
        <v>9900</v>
      </c>
      <c r="J142" s="8">
        <v>10</v>
      </c>
      <c r="K142">
        <v>22000</v>
      </c>
      <c r="L142" t="s">
        <v>52</v>
      </c>
    </row>
    <row r="143" spans="1:12" x14ac:dyDescent="0.35">
      <c r="A143">
        <v>1142</v>
      </c>
      <c r="B143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  <c r="I143" s="10">
        <f t="shared" si="1"/>
        <v>1980</v>
      </c>
      <c r="J143" s="8">
        <v>0</v>
      </c>
      <c r="K143">
        <v>11000</v>
      </c>
      <c r="L143" t="s">
        <v>52</v>
      </c>
    </row>
    <row r="144" spans="1:12" x14ac:dyDescent="0.35">
      <c r="A144">
        <v>1143</v>
      </c>
      <c r="B144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  <c r="I144" s="10">
        <f t="shared" si="1"/>
        <v>2880</v>
      </c>
      <c r="J144" s="8">
        <v>5</v>
      </c>
      <c r="K144">
        <v>9600</v>
      </c>
      <c r="L144" t="s">
        <v>52</v>
      </c>
    </row>
    <row r="145" spans="1:12" x14ac:dyDescent="0.35">
      <c r="A145">
        <v>1144</v>
      </c>
      <c r="B145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  <c r="I145" s="10">
        <f t="shared" si="1"/>
        <v>42300</v>
      </c>
      <c r="J145" s="8">
        <v>0</v>
      </c>
      <c r="K145">
        <v>188000</v>
      </c>
      <c r="L145" t="s">
        <v>52</v>
      </c>
    </row>
    <row r="146" spans="1:12" x14ac:dyDescent="0.35">
      <c r="A146">
        <v>1145</v>
      </c>
      <c r="B146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  <c r="I146" s="10">
        <f t="shared" si="1"/>
        <v>53100</v>
      </c>
      <c r="J146" s="8">
        <v>0</v>
      </c>
      <c r="K146">
        <v>118000</v>
      </c>
      <c r="L146" t="s">
        <v>52</v>
      </c>
    </row>
    <row r="147" spans="1:12" x14ac:dyDescent="0.35">
      <c r="A147">
        <v>1146</v>
      </c>
      <c r="B147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  <c r="I147" s="10">
        <f t="shared" si="1"/>
        <v>765</v>
      </c>
      <c r="J147" s="8">
        <v>15</v>
      </c>
      <c r="K147">
        <v>5100</v>
      </c>
      <c r="L147" t="s">
        <v>52</v>
      </c>
    </row>
    <row r="148" spans="1:12" x14ac:dyDescent="0.35">
      <c r="A148">
        <v>1147</v>
      </c>
      <c r="B148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  <c r="I148" s="10">
        <f t="shared" si="1"/>
        <v>3150</v>
      </c>
      <c r="J148" s="8">
        <v>5</v>
      </c>
      <c r="K148">
        <v>10500</v>
      </c>
      <c r="L148" t="s">
        <v>52</v>
      </c>
    </row>
    <row r="149" spans="1:12" x14ac:dyDescent="0.35">
      <c r="A149">
        <v>1148</v>
      </c>
      <c r="B149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  <c r="I149" s="10">
        <f t="shared" si="1"/>
        <v>2340</v>
      </c>
      <c r="J149" s="8">
        <v>0</v>
      </c>
      <c r="K149">
        <v>2600</v>
      </c>
      <c r="L149" t="s">
        <v>52</v>
      </c>
    </row>
    <row r="150" spans="1:12" x14ac:dyDescent="0.35">
      <c r="A150">
        <v>1149</v>
      </c>
      <c r="B150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  <c r="I150" s="10">
        <f t="shared" si="1"/>
        <v>52200</v>
      </c>
      <c r="J150" s="8">
        <v>10</v>
      </c>
      <c r="K150">
        <v>58000</v>
      </c>
      <c r="L150" t="s">
        <v>52</v>
      </c>
    </row>
    <row r="151" spans="1:12" x14ac:dyDescent="0.35">
      <c r="A151">
        <v>1150</v>
      </c>
      <c r="B15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  <c r="I151" s="10">
        <f t="shared" ref="I151:I214" si="2">H151*90%</f>
        <v>9900</v>
      </c>
      <c r="J151" s="8">
        <v>0</v>
      </c>
      <c r="K151">
        <v>110000</v>
      </c>
      <c r="L151" t="s">
        <v>52</v>
      </c>
    </row>
    <row r="152" spans="1:12" x14ac:dyDescent="0.35">
      <c r="A152">
        <v>1151</v>
      </c>
      <c r="B152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  <c r="I152" s="10">
        <f t="shared" si="2"/>
        <v>1980</v>
      </c>
      <c r="J152" s="8">
        <v>0</v>
      </c>
      <c r="K152">
        <v>4400</v>
      </c>
      <c r="L152" t="s">
        <v>53</v>
      </c>
    </row>
    <row r="153" spans="1:12" x14ac:dyDescent="0.35">
      <c r="A153">
        <v>1152</v>
      </c>
      <c r="B153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  <c r="I153" s="10">
        <f t="shared" si="2"/>
        <v>2880</v>
      </c>
      <c r="J153" s="8">
        <v>5</v>
      </c>
      <c r="K153">
        <v>9600</v>
      </c>
      <c r="L153" t="s">
        <v>53</v>
      </c>
    </row>
    <row r="154" spans="1:12" x14ac:dyDescent="0.35">
      <c r="A154">
        <v>1153</v>
      </c>
      <c r="B154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  <c r="I154" s="10">
        <f t="shared" si="2"/>
        <v>42300</v>
      </c>
      <c r="J154" s="8">
        <v>0</v>
      </c>
      <c r="K154">
        <v>94000</v>
      </c>
      <c r="L154" t="s">
        <v>53</v>
      </c>
    </row>
    <row r="155" spans="1:12" x14ac:dyDescent="0.35">
      <c r="A155">
        <v>1154</v>
      </c>
      <c r="B155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  <c r="I155" s="10">
        <f t="shared" si="2"/>
        <v>53100</v>
      </c>
      <c r="J155" s="8">
        <v>0</v>
      </c>
      <c r="K155">
        <v>59000</v>
      </c>
      <c r="L155" t="s">
        <v>53</v>
      </c>
    </row>
    <row r="156" spans="1:12" x14ac:dyDescent="0.35">
      <c r="A156">
        <v>1155</v>
      </c>
      <c r="B156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  <c r="I156" s="10">
        <f t="shared" si="2"/>
        <v>765</v>
      </c>
      <c r="J156" s="8">
        <v>5</v>
      </c>
      <c r="K156">
        <v>850</v>
      </c>
      <c r="L156" t="s">
        <v>53</v>
      </c>
    </row>
    <row r="157" spans="1:12" x14ac:dyDescent="0.35">
      <c r="A157">
        <v>1156</v>
      </c>
      <c r="B157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  <c r="I157" s="10">
        <f t="shared" si="2"/>
        <v>2250</v>
      </c>
      <c r="J157" s="8">
        <v>10</v>
      </c>
      <c r="K157">
        <v>10000</v>
      </c>
      <c r="L157" t="s">
        <v>53</v>
      </c>
    </row>
    <row r="158" spans="1:12" x14ac:dyDescent="0.35">
      <c r="A158">
        <v>1157</v>
      </c>
      <c r="B158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  <c r="I158" s="10">
        <f t="shared" si="2"/>
        <v>10800</v>
      </c>
      <c r="J158" s="8">
        <v>0</v>
      </c>
      <c r="K158">
        <v>24000</v>
      </c>
      <c r="L158" t="s">
        <v>53</v>
      </c>
    </row>
    <row r="159" spans="1:12" x14ac:dyDescent="0.35">
      <c r="A159">
        <v>1158</v>
      </c>
      <c r="B159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  <c r="I159" s="10">
        <f t="shared" si="2"/>
        <v>1800</v>
      </c>
      <c r="J159" s="8">
        <v>0</v>
      </c>
      <c r="K159">
        <v>2000</v>
      </c>
      <c r="L159" t="s">
        <v>53</v>
      </c>
    </row>
    <row r="160" spans="1:12" x14ac:dyDescent="0.35">
      <c r="A160">
        <v>1159</v>
      </c>
      <c r="B160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  <c r="I160" s="10">
        <f t="shared" si="2"/>
        <v>2700</v>
      </c>
      <c r="J160" s="8">
        <v>5</v>
      </c>
      <c r="K160">
        <v>3000</v>
      </c>
      <c r="L160" t="s">
        <v>53</v>
      </c>
    </row>
    <row r="161" spans="1:12" x14ac:dyDescent="0.35">
      <c r="A161">
        <v>1160</v>
      </c>
      <c r="B16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  <c r="I161" s="10">
        <f t="shared" si="2"/>
        <v>54000</v>
      </c>
      <c r="J161" s="8">
        <v>0</v>
      </c>
      <c r="K161">
        <v>300000</v>
      </c>
      <c r="L161" t="s">
        <v>53</v>
      </c>
    </row>
    <row r="162" spans="1:12" x14ac:dyDescent="0.35">
      <c r="A162">
        <v>1161</v>
      </c>
      <c r="B162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  <c r="I162" s="10">
        <f t="shared" si="2"/>
        <v>40500</v>
      </c>
      <c r="J162" s="8">
        <v>10</v>
      </c>
      <c r="K162">
        <v>90000</v>
      </c>
      <c r="L162" t="s">
        <v>52</v>
      </c>
    </row>
    <row r="163" spans="1:12" x14ac:dyDescent="0.35">
      <c r="A163">
        <v>1162</v>
      </c>
      <c r="B163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  <c r="I163" s="10">
        <f t="shared" si="2"/>
        <v>720</v>
      </c>
      <c r="J163" s="8">
        <v>0</v>
      </c>
      <c r="K163">
        <v>4000</v>
      </c>
      <c r="L163" t="s">
        <v>52</v>
      </c>
    </row>
    <row r="164" spans="1:12" x14ac:dyDescent="0.35">
      <c r="A164">
        <v>1163</v>
      </c>
      <c r="B164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  <c r="I164" s="10">
        <f t="shared" si="2"/>
        <v>18900</v>
      </c>
      <c r="J164" s="8">
        <v>5</v>
      </c>
      <c r="K164">
        <v>63000</v>
      </c>
      <c r="L164" t="s">
        <v>52</v>
      </c>
    </row>
    <row r="165" spans="1:12" x14ac:dyDescent="0.35">
      <c r="A165">
        <v>1164</v>
      </c>
      <c r="B165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  <c r="I165" s="10">
        <f t="shared" si="2"/>
        <v>3150</v>
      </c>
      <c r="J165" s="8">
        <v>0</v>
      </c>
      <c r="K165">
        <v>14000</v>
      </c>
      <c r="L165" t="s">
        <v>52</v>
      </c>
    </row>
    <row r="166" spans="1:12" x14ac:dyDescent="0.35">
      <c r="A166">
        <v>1165</v>
      </c>
      <c r="B166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  <c r="I166" s="10">
        <f t="shared" si="2"/>
        <v>2340</v>
      </c>
      <c r="J166" s="8">
        <v>0</v>
      </c>
      <c r="K166">
        <v>5200</v>
      </c>
      <c r="L166" t="s">
        <v>52</v>
      </c>
    </row>
    <row r="167" spans="1:12" x14ac:dyDescent="0.35">
      <c r="A167">
        <v>1166</v>
      </c>
      <c r="B167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  <c r="I167" s="10">
        <f t="shared" si="2"/>
        <v>52200</v>
      </c>
      <c r="J167" s="8">
        <v>15</v>
      </c>
      <c r="K167">
        <v>348000</v>
      </c>
      <c r="L167" t="s">
        <v>52</v>
      </c>
    </row>
    <row r="168" spans="1:12" x14ac:dyDescent="0.35">
      <c r="A168">
        <v>1167</v>
      </c>
      <c r="B168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  <c r="I168" s="10">
        <f t="shared" si="2"/>
        <v>9900</v>
      </c>
      <c r="J168" s="8">
        <v>5</v>
      </c>
      <c r="K168">
        <v>33000</v>
      </c>
      <c r="L168" t="s">
        <v>52</v>
      </c>
    </row>
    <row r="169" spans="1:12" x14ac:dyDescent="0.35">
      <c r="A169">
        <v>1168</v>
      </c>
      <c r="B169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  <c r="I169" s="10">
        <f t="shared" si="2"/>
        <v>1980</v>
      </c>
      <c r="J169" s="8">
        <v>0</v>
      </c>
      <c r="K169">
        <v>2200</v>
      </c>
      <c r="L169" t="s">
        <v>52</v>
      </c>
    </row>
    <row r="170" spans="1:12" x14ac:dyDescent="0.35">
      <c r="A170">
        <v>1169</v>
      </c>
      <c r="B170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  <c r="I170" s="10">
        <f t="shared" si="2"/>
        <v>49500</v>
      </c>
      <c r="J170" s="8">
        <v>10</v>
      </c>
      <c r="K170">
        <v>55000</v>
      </c>
      <c r="L170" t="s">
        <v>52</v>
      </c>
    </row>
    <row r="171" spans="1:12" x14ac:dyDescent="0.35">
      <c r="A171">
        <v>1170</v>
      </c>
      <c r="B17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  <c r="I171" s="10">
        <f t="shared" si="2"/>
        <v>3150</v>
      </c>
      <c r="J171" s="8">
        <v>0</v>
      </c>
      <c r="K171">
        <v>35000</v>
      </c>
      <c r="L171" t="s">
        <v>52</v>
      </c>
    </row>
    <row r="172" spans="1:12" x14ac:dyDescent="0.35">
      <c r="A172">
        <v>1171</v>
      </c>
      <c r="B172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  <c r="I172" s="10">
        <f t="shared" si="2"/>
        <v>19800</v>
      </c>
      <c r="J172" s="8">
        <v>0</v>
      </c>
      <c r="K172">
        <v>44000</v>
      </c>
      <c r="L172" t="s">
        <v>53</v>
      </c>
    </row>
    <row r="173" spans="1:12" x14ac:dyDescent="0.35">
      <c r="A173">
        <v>1172</v>
      </c>
      <c r="B173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  <c r="I173" s="10">
        <f t="shared" si="2"/>
        <v>2250</v>
      </c>
      <c r="J173" s="8">
        <v>5</v>
      </c>
      <c r="K173">
        <v>7500</v>
      </c>
      <c r="L173" t="s">
        <v>53</v>
      </c>
    </row>
    <row r="174" spans="1:12" x14ac:dyDescent="0.35">
      <c r="A174">
        <v>1173</v>
      </c>
      <c r="B174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  <c r="I174" s="10">
        <f t="shared" si="2"/>
        <v>10800</v>
      </c>
      <c r="J174" s="8">
        <v>0</v>
      </c>
      <c r="K174">
        <v>24000</v>
      </c>
      <c r="L174" t="s">
        <v>53</v>
      </c>
    </row>
    <row r="175" spans="1:12" x14ac:dyDescent="0.35">
      <c r="A175">
        <v>1174</v>
      </c>
      <c r="B175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  <c r="I175" s="10">
        <f t="shared" si="2"/>
        <v>1800</v>
      </c>
      <c r="J175" s="8">
        <v>0</v>
      </c>
      <c r="K175">
        <v>2000</v>
      </c>
      <c r="L175" t="s">
        <v>53</v>
      </c>
    </row>
    <row r="176" spans="1:12" x14ac:dyDescent="0.35">
      <c r="A176">
        <v>1175</v>
      </c>
      <c r="B176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  <c r="I176" s="10">
        <f t="shared" si="2"/>
        <v>2700</v>
      </c>
      <c r="J176" s="8">
        <v>5</v>
      </c>
      <c r="K176">
        <v>3000</v>
      </c>
      <c r="L176" t="s">
        <v>53</v>
      </c>
    </row>
    <row r="177" spans="1:12" x14ac:dyDescent="0.35">
      <c r="A177">
        <v>1176</v>
      </c>
      <c r="B177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  <c r="I177" s="10">
        <f t="shared" si="2"/>
        <v>54000</v>
      </c>
      <c r="J177" s="8">
        <v>10</v>
      </c>
      <c r="K177">
        <v>240000</v>
      </c>
      <c r="L177" t="s">
        <v>53</v>
      </c>
    </row>
    <row r="178" spans="1:12" x14ac:dyDescent="0.35">
      <c r="A178">
        <v>1177</v>
      </c>
      <c r="B178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  <c r="I178" s="10">
        <f t="shared" si="2"/>
        <v>40500</v>
      </c>
      <c r="J178" s="8">
        <v>0</v>
      </c>
      <c r="K178">
        <v>90000</v>
      </c>
      <c r="L178" t="s">
        <v>53</v>
      </c>
    </row>
    <row r="179" spans="1:12" x14ac:dyDescent="0.35">
      <c r="A179">
        <v>1178</v>
      </c>
      <c r="B179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  <c r="I179" s="10">
        <f t="shared" si="2"/>
        <v>720</v>
      </c>
      <c r="J179" s="8">
        <v>0</v>
      </c>
      <c r="K179">
        <v>800</v>
      </c>
      <c r="L179" t="s">
        <v>53</v>
      </c>
    </row>
    <row r="180" spans="1:12" x14ac:dyDescent="0.35">
      <c r="A180">
        <v>1179</v>
      </c>
      <c r="B180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  <c r="I180" s="10">
        <f t="shared" si="2"/>
        <v>18900</v>
      </c>
      <c r="J180" s="8">
        <v>0</v>
      </c>
      <c r="K180">
        <v>21000</v>
      </c>
      <c r="L180" t="s">
        <v>53</v>
      </c>
    </row>
    <row r="181" spans="1:12" x14ac:dyDescent="0.35">
      <c r="A181">
        <v>1180</v>
      </c>
      <c r="B18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  <c r="I181" s="10">
        <f t="shared" si="2"/>
        <v>3150</v>
      </c>
      <c r="J181" s="8">
        <v>0</v>
      </c>
      <c r="K181">
        <v>17500</v>
      </c>
      <c r="L181" t="s">
        <v>53</v>
      </c>
    </row>
    <row r="182" spans="1:12" x14ac:dyDescent="0.35">
      <c r="A182">
        <v>1181</v>
      </c>
      <c r="B182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  <c r="I182" s="10">
        <f t="shared" si="2"/>
        <v>2340</v>
      </c>
      <c r="J182" s="8">
        <v>5</v>
      </c>
      <c r="K182">
        <v>5200</v>
      </c>
      <c r="L182" t="s">
        <v>52</v>
      </c>
    </row>
    <row r="183" spans="1:12" x14ac:dyDescent="0.35">
      <c r="A183">
        <v>1182</v>
      </c>
      <c r="B183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  <c r="I183" s="10">
        <f t="shared" si="2"/>
        <v>52200</v>
      </c>
      <c r="J183" s="8">
        <v>0</v>
      </c>
      <c r="K183">
        <v>290000</v>
      </c>
      <c r="L183" t="s">
        <v>52</v>
      </c>
    </row>
    <row r="184" spans="1:12" x14ac:dyDescent="0.35">
      <c r="A184">
        <v>1183</v>
      </c>
      <c r="B184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  <c r="I184" s="10">
        <f t="shared" si="2"/>
        <v>9900</v>
      </c>
      <c r="J184" s="8">
        <v>0</v>
      </c>
      <c r="K184">
        <v>33000</v>
      </c>
      <c r="L184" t="s">
        <v>52</v>
      </c>
    </row>
    <row r="185" spans="1:12" x14ac:dyDescent="0.35">
      <c r="A185">
        <v>1184</v>
      </c>
      <c r="B185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  <c r="I185" s="10">
        <f t="shared" si="2"/>
        <v>1980</v>
      </c>
      <c r="J185" s="8">
        <v>5</v>
      </c>
      <c r="K185">
        <v>8800</v>
      </c>
      <c r="L185" t="s">
        <v>52</v>
      </c>
    </row>
    <row r="186" spans="1:12" x14ac:dyDescent="0.35">
      <c r="A186">
        <v>1185</v>
      </c>
      <c r="B186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  <c r="I186" s="10">
        <f t="shared" si="2"/>
        <v>2880</v>
      </c>
      <c r="J186" s="8">
        <v>10</v>
      </c>
      <c r="K186">
        <v>6400</v>
      </c>
      <c r="L186" t="s">
        <v>52</v>
      </c>
    </row>
    <row r="187" spans="1:12" x14ac:dyDescent="0.35">
      <c r="A187">
        <v>1186</v>
      </c>
      <c r="B187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  <c r="I187" s="10">
        <f t="shared" si="2"/>
        <v>42300</v>
      </c>
      <c r="J187" s="8">
        <v>0</v>
      </c>
      <c r="K187">
        <v>282000</v>
      </c>
      <c r="L187" t="s">
        <v>52</v>
      </c>
    </row>
    <row r="188" spans="1:12" x14ac:dyDescent="0.35">
      <c r="A188">
        <v>1187</v>
      </c>
      <c r="B188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  <c r="I188" s="10">
        <f t="shared" si="2"/>
        <v>53100</v>
      </c>
      <c r="J188" s="8">
        <v>0</v>
      </c>
      <c r="K188">
        <v>177000</v>
      </c>
      <c r="L188" t="s">
        <v>52</v>
      </c>
    </row>
    <row r="189" spans="1:12" x14ac:dyDescent="0.35">
      <c r="A189">
        <v>1188</v>
      </c>
      <c r="B189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  <c r="I189" s="10">
        <f t="shared" si="2"/>
        <v>765</v>
      </c>
      <c r="J189" s="8">
        <v>5</v>
      </c>
      <c r="K189">
        <v>850</v>
      </c>
      <c r="L189" t="s">
        <v>52</v>
      </c>
    </row>
    <row r="190" spans="1:12" x14ac:dyDescent="0.35">
      <c r="A190">
        <v>1189</v>
      </c>
      <c r="B190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  <c r="I190" s="10">
        <f t="shared" si="2"/>
        <v>3150</v>
      </c>
      <c r="J190" s="8">
        <v>0</v>
      </c>
      <c r="K190">
        <v>3500</v>
      </c>
      <c r="L190" t="s">
        <v>52</v>
      </c>
    </row>
    <row r="191" spans="1:12" x14ac:dyDescent="0.35">
      <c r="A191">
        <v>1190</v>
      </c>
      <c r="B19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  <c r="I191" s="10">
        <f t="shared" si="2"/>
        <v>2340</v>
      </c>
      <c r="J191" s="8">
        <v>10</v>
      </c>
      <c r="K191">
        <v>26000</v>
      </c>
      <c r="L191" t="s">
        <v>52</v>
      </c>
    </row>
    <row r="192" spans="1:12" x14ac:dyDescent="0.35">
      <c r="A192">
        <v>1191</v>
      </c>
      <c r="B192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  <c r="I192" s="10">
        <f t="shared" si="2"/>
        <v>52200</v>
      </c>
      <c r="J192" s="8">
        <v>0</v>
      </c>
      <c r="K192">
        <v>116000</v>
      </c>
      <c r="L192" t="s">
        <v>53</v>
      </c>
    </row>
    <row r="193" spans="1:12" x14ac:dyDescent="0.35">
      <c r="A193">
        <v>1192</v>
      </c>
      <c r="B193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  <c r="I193" s="10">
        <f t="shared" si="2"/>
        <v>9900</v>
      </c>
      <c r="J193" s="8">
        <v>5</v>
      </c>
      <c r="K193">
        <v>33000</v>
      </c>
      <c r="L193" t="s">
        <v>53</v>
      </c>
    </row>
    <row r="194" spans="1:12" x14ac:dyDescent="0.35">
      <c r="A194">
        <v>1193</v>
      </c>
      <c r="B194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  <c r="I194" s="10">
        <f t="shared" si="2"/>
        <v>1980</v>
      </c>
      <c r="J194" s="8">
        <v>0</v>
      </c>
      <c r="K194">
        <v>4400</v>
      </c>
      <c r="L194" t="s">
        <v>53</v>
      </c>
    </row>
    <row r="195" spans="1:12" x14ac:dyDescent="0.35">
      <c r="A195">
        <v>1194</v>
      </c>
      <c r="B195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  <c r="I195" s="10">
        <f t="shared" si="2"/>
        <v>2880</v>
      </c>
      <c r="J195" s="8">
        <v>0</v>
      </c>
      <c r="K195">
        <v>3200</v>
      </c>
      <c r="L195" t="s">
        <v>53</v>
      </c>
    </row>
    <row r="196" spans="1:12" x14ac:dyDescent="0.35">
      <c r="A196">
        <v>1195</v>
      </c>
      <c r="B196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  <c r="I196" s="10">
        <f t="shared" si="2"/>
        <v>42300</v>
      </c>
      <c r="J196" s="8">
        <v>15</v>
      </c>
      <c r="K196">
        <v>47000</v>
      </c>
      <c r="L196" t="s">
        <v>53</v>
      </c>
    </row>
    <row r="197" spans="1:12" x14ac:dyDescent="0.35">
      <c r="A197">
        <v>1196</v>
      </c>
      <c r="B197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  <c r="I197" s="10">
        <f t="shared" si="2"/>
        <v>53100</v>
      </c>
      <c r="J197" s="8">
        <v>5</v>
      </c>
      <c r="K197">
        <v>236000</v>
      </c>
      <c r="L197" t="s">
        <v>53</v>
      </c>
    </row>
    <row r="198" spans="1:12" x14ac:dyDescent="0.35">
      <c r="A198">
        <v>1197</v>
      </c>
      <c r="B198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  <c r="I198" s="10">
        <f t="shared" si="2"/>
        <v>765</v>
      </c>
      <c r="J198" s="8">
        <v>0</v>
      </c>
      <c r="K198">
        <v>1700</v>
      </c>
      <c r="L198" t="s">
        <v>53</v>
      </c>
    </row>
    <row r="199" spans="1:12" x14ac:dyDescent="0.35">
      <c r="A199">
        <v>1198</v>
      </c>
      <c r="B199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  <c r="I199" s="10">
        <f t="shared" si="2"/>
        <v>2250</v>
      </c>
      <c r="J199" s="8">
        <v>10</v>
      </c>
      <c r="K199">
        <v>2500</v>
      </c>
      <c r="L199" t="s">
        <v>53</v>
      </c>
    </row>
    <row r="200" spans="1:12" x14ac:dyDescent="0.35">
      <c r="A200">
        <v>1199</v>
      </c>
      <c r="B200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  <c r="I200" s="10">
        <f t="shared" si="2"/>
        <v>10800</v>
      </c>
      <c r="J200" s="8">
        <v>0</v>
      </c>
      <c r="K200">
        <v>12000</v>
      </c>
      <c r="L200" t="s">
        <v>53</v>
      </c>
    </row>
    <row r="201" spans="1:12" x14ac:dyDescent="0.35">
      <c r="A201">
        <v>1200</v>
      </c>
      <c r="B20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  <c r="I201" s="10">
        <f t="shared" si="2"/>
        <v>1800</v>
      </c>
      <c r="J201" s="8">
        <v>0</v>
      </c>
      <c r="K201">
        <v>10000</v>
      </c>
      <c r="L201" t="s">
        <v>53</v>
      </c>
    </row>
    <row r="202" spans="1:12" x14ac:dyDescent="0.35">
      <c r="A202">
        <v>1201</v>
      </c>
      <c r="B202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  <c r="I202" s="10">
        <f t="shared" si="2"/>
        <v>2700</v>
      </c>
      <c r="J202" s="8">
        <v>5</v>
      </c>
      <c r="K202">
        <v>6000</v>
      </c>
      <c r="L202" t="s">
        <v>52</v>
      </c>
    </row>
    <row r="203" spans="1:12" x14ac:dyDescent="0.35">
      <c r="A203">
        <v>1202</v>
      </c>
      <c r="B203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  <c r="I203" s="10">
        <f t="shared" si="2"/>
        <v>54000</v>
      </c>
      <c r="J203" s="8">
        <v>0</v>
      </c>
      <c r="K203">
        <v>300000</v>
      </c>
      <c r="L203" t="s">
        <v>52</v>
      </c>
    </row>
    <row r="204" spans="1:12" x14ac:dyDescent="0.35">
      <c r="A204">
        <v>1203</v>
      </c>
      <c r="B204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  <c r="I204" s="10">
        <f t="shared" si="2"/>
        <v>40500</v>
      </c>
      <c r="J204" s="8">
        <v>0</v>
      </c>
      <c r="K204">
        <v>135000</v>
      </c>
      <c r="L204" t="s">
        <v>52</v>
      </c>
    </row>
    <row r="205" spans="1:12" x14ac:dyDescent="0.35">
      <c r="A205">
        <v>1204</v>
      </c>
      <c r="B205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  <c r="I205" s="10">
        <f t="shared" si="2"/>
        <v>720</v>
      </c>
      <c r="J205" s="8">
        <v>5</v>
      </c>
      <c r="K205">
        <v>3200</v>
      </c>
      <c r="L205" t="s">
        <v>52</v>
      </c>
    </row>
    <row r="206" spans="1:12" x14ac:dyDescent="0.35">
      <c r="A206">
        <v>1205</v>
      </c>
      <c r="B206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  <c r="I206" s="10">
        <f t="shared" si="2"/>
        <v>18900</v>
      </c>
      <c r="J206" s="8">
        <v>10</v>
      </c>
      <c r="K206">
        <v>42000</v>
      </c>
      <c r="L206" t="s">
        <v>52</v>
      </c>
    </row>
    <row r="207" spans="1:12" x14ac:dyDescent="0.35">
      <c r="A207">
        <v>1206</v>
      </c>
      <c r="B207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  <c r="I207" s="10">
        <f t="shared" si="2"/>
        <v>3150</v>
      </c>
      <c r="J207" s="8">
        <v>0</v>
      </c>
      <c r="K207">
        <v>21000</v>
      </c>
      <c r="L207" t="s">
        <v>52</v>
      </c>
    </row>
    <row r="208" spans="1:12" x14ac:dyDescent="0.35">
      <c r="A208">
        <v>1207</v>
      </c>
      <c r="B208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  <c r="I208" s="10">
        <f t="shared" si="2"/>
        <v>2340</v>
      </c>
      <c r="J208" s="8">
        <v>0</v>
      </c>
      <c r="K208">
        <v>7800</v>
      </c>
      <c r="L208" t="s">
        <v>52</v>
      </c>
    </row>
    <row r="209" spans="1:12" x14ac:dyDescent="0.35">
      <c r="A209">
        <v>1208</v>
      </c>
      <c r="B209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  <c r="I209" s="10">
        <f t="shared" si="2"/>
        <v>52200</v>
      </c>
      <c r="J209" s="8">
        <v>5</v>
      </c>
      <c r="K209">
        <v>58000</v>
      </c>
      <c r="L209" t="s">
        <v>52</v>
      </c>
    </row>
    <row r="210" spans="1:12" x14ac:dyDescent="0.35">
      <c r="A210">
        <v>1209</v>
      </c>
      <c r="B210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  <c r="I210" s="10">
        <f t="shared" si="2"/>
        <v>9900</v>
      </c>
      <c r="J210" s="8">
        <v>0</v>
      </c>
      <c r="K210">
        <v>11000</v>
      </c>
      <c r="L210" t="s">
        <v>52</v>
      </c>
    </row>
    <row r="211" spans="1:12" x14ac:dyDescent="0.35">
      <c r="A211">
        <v>1210</v>
      </c>
      <c r="B21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  <c r="I211" s="10">
        <f t="shared" si="2"/>
        <v>1980</v>
      </c>
      <c r="J211" s="8">
        <v>10</v>
      </c>
      <c r="K211">
        <v>22000</v>
      </c>
      <c r="L211" t="s">
        <v>52</v>
      </c>
    </row>
    <row r="212" spans="1:12" x14ac:dyDescent="0.35">
      <c r="A212">
        <v>1211</v>
      </c>
      <c r="B212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  <c r="I212" s="10">
        <f t="shared" si="2"/>
        <v>49500</v>
      </c>
      <c r="J212" s="8">
        <v>0</v>
      </c>
      <c r="K212">
        <v>110000</v>
      </c>
      <c r="L212" t="s">
        <v>53</v>
      </c>
    </row>
    <row r="213" spans="1:12" x14ac:dyDescent="0.35">
      <c r="A213">
        <v>1212</v>
      </c>
      <c r="B213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  <c r="I213" s="10">
        <f t="shared" si="2"/>
        <v>3150</v>
      </c>
      <c r="J213" s="8">
        <v>5</v>
      </c>
      <c r="K213">
        <v>10500</v>
      </c>
      <c r="L213" t="s">
        <v>53</v>
      </c>
    </row>
    <row r="214" spans="1:12" x14ac:dyDescent="0.35">
      <c r="A214">
        <v>1213</v>
      </c>
      <c r="B214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  <c r="I214" s="10">
        <f t="shared" si="2"/>
        <v>19800</v>
      </c>
      <c r="J214" s="8">
        <v>0</v>
      </c>
      <c r="K214">
        <v>44000</v>
      </c>
      <c r="L214" t="s">
        <v>53</v>
      </c>
    </row>
    <row r="215" spans="1:12" x14ac:dyDescent="0.35">
      <c r="A215">
        <v>1214</v>
      </c>
      <c r="B215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  <c r="I215" s="10">
        <f t="shared" ref="I215:I278" si="3">H215*90%</f>
        <v>2250</v>
      </c>
      <c r="J215" s="8">
        <v>0</v>
      </c>
      <c r="K215">
        <v>2500</v>
      </c>
      <c r="L215" t="s">
        <v>53</v>
      </c>
    </row>
    <row r="216" spans="1:12" x14ac:dyDescent="0.35">
      <c r="A216">
        <v>1215</v>
      </c>
      <c r="B216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  <c r="I216" s="10">
        <f t="shared" si="3"/>
        <v>10800</v>
      </c>
      <c r="J216" s="8">
        <v>15</v>
      </c>
      <c r="K216">
        <v>12000</v>
      </c>
      <c r="L216" t="s">
        <v>53</v>
      </c>
    </row>
    <row r="217" spans="1:12" x14ac:dyDescent="0.35">
      <c r="A217">
        <v>1216</v>
      </c>
      <c r="B217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  <c r="I217" s="10">
        <f t="shared" si="3"/>
        <v>1800</v>
      </c>
      <c r="J217" s="8">
        <v>5</v>
      </c>
      <c r="K217">
        <v>8000</v>
      </c>
      <c r="L217" t="s">
        <v>53</v>
      </c>
    </row>
    <row r="218" spans="1:12" x14ac:dyDescent="0.35">
      <c r="A218">
        <v>1217</v>
      </c>
      <c r="B218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  <c r="I218" s="10">
        <f t="shared" si="3"/>
        <v>2700</v>
      </c>
      <c r="J218" s="8">
        <v>0</v>
      </c>
      <c r="K218">
        <v>6000</v>
      </c>
      <c r="L218" t="s">
        <v>53</v>
      </c>
    </row>
    <row r="219" spans="1:12" x14ac:dyDescent="0.35">
      <c r="A219">
        <v>1218</v>
      </c>
      <c r="B219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  <c r="I219" s="10">
        <f t="shared" si="3"/>
        <v>54000</v>
      </c>
      <c r="J219" s="8">
        <v>10</v>
      </c>
      <c r="K219">
        <v>60000</v>
      </c>
      <c r="L219" t="s">
        <v>53</v>
      </c>
    </row>
    <row r="220" spans="1:12" x14ac:dyDescent="0.35">
      <c r="A220">
        <v>1219</v>
      </c>
      <c r="B220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  <c r="I220" s="10">
        <f t="shared" si="3"/>
        <v>40500</v>
      </c>
      <c r="J220" s="8">
        <v>0</v>
      </c>
      <c r="K220">
        <v>45000</v>
      </c>
      <c r="L220" t="s">
        <v>53</v>
      </c>
    </row>
    <row r="221" spans="1:12" x14ac:dyDescent="0.35">
      <c r="A221">
        <v>1220</v>
      </c>
      <c r="B22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  <c r="I221" s="10">
        <f t="shared" si="3"/>
        <v>720</v>
      </c>
      <c r="J221" s="8">
        <v>0</v>
      </c>
      <c r="K221">
        <v>4000</v>
      </c>
      <c r="L221" t="s">
        <v>53</v>
      </c>
    </row>
    <row r="222" spans="1:12" x14ac:dyDescent="0.35">
      <c r="A222">
        <v>1221</v>
      </c>
      <c r="B222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  <c r="I222" s="10">
        <f t="shared" si="3"/>
        <v>18900</v>
      </c>
      <c r="J222" s="8">
        <v>5</v>
      </c>
      <c r="K222">
        <v>42000</v>
      </c>
      <c r="L222" t="s">
        <v>52</v>
      </c>
    </row>
    <row r="223" spans="1:12" x14ac:dyDescent="0.35">
      <c r="A223">
        <v>1222</v>
      </c>
      <c r="B223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  <c r="I223" s="10">
        <f t="shared" si="3"/>
        <v>3150</v>
      </c>
      <c r="J223" s="8">
        <v>0</v>
      </c>
      <c r="K223">
        <v>17500</v>
      </c>
      <c r="L223" t="s">
        <v>52</v>
      </c>
    </row>
    <row r="224" spans="1:12" x14ac:dyDescent="0.35">
      <c r="A224">
        <v>1223</v>
      </c>
      <c r="B224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  <c r="I224" s="10">
        <f t="shared" si="3"/>
        <v>2340</v>
      </c>
      <c r="J224" s="8">
        <v>0</v>
      </c>
      <c r="K224">
        <v>7800</v>
      </c>
      <c r="L224" t="s">
        <v>52</v>
      </c>
    </row>
    <row r="225" spans="1:12" x14ac:dyDescent="0.35">
      <c r="A225">
        <v>1224</v>
      </c>
      <c r="B225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  <c r="I225" s="10">
        <f t="shared" si="3"/>
        <v>52200</v>
      </c>
      <c r="J225" s="8">
        <v>5</v>
      </c>
      <c r="K225">
        <v>232000</v>
      </c>
      <c r="L225" t="s">
        <v>52</v>
      </c>
    </row>
    <row r="226" spans="1:12" x14ac:dyDescent="0.35">
      <c r="A226">
        <v>1225</v>
      </c>
      <c r="B226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  <c r="I226" s="10">
        <f t="shared" si="3"/>
        <v>9900</v>
      </c>
      <c r="J226" s="8">
        <v>10</v>
      </c>
      <c r="K226">
        <v>22000</v>
      </c>
      <c r="L226" t="s">
        <v>52</v>
      </c>
    </row>
    <row r="227" spans="1:12" x14ac:dyDescent="0.35">
      <c r="A227">
        <v>1226</v>
      </c>
      <c r="B227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  <c r="I227" s="10">
        <f t="shared" si="3"/>
        <v>1980</v>
      </c>
      <c r="J227" s="8">
        <v>0</v>
      </c>
      <c r="K227">
        <v>13200</v>
      </c>
      <c r="L227" t="s">
        <v>52</v>
      </c>
    </row>
    <row r="228" spans="1:12" x14ac:dyDescent="0.35">
      <c r="A228">
        <v>1227</v>
      </c>
      <c r="B228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  <c r="I228" s="10">
        <f t="shared" si="3"/>
        <v>2880</v>
      </c>
      <c r="J228" s="8">
        <v>0</v>
      </c>
      <c r="K228">
        <v>9600</v>
      </c>
      <c r="L228" t="s">
        <v>52</v>
      </c>
    </row>
    <row r="229" spans="1:12" x14ac:dyDescent="0.35">
      <c r="A229">
        <v>1228</v>
      </c>
      <c r="B229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  <c r="I229" s="10">
        <f t="shared" si="3"/>
        <v>42300</v>
      </c>
      <c r="J229" s="8">
        <v>5</v>
      </c>
      <c r="K229">
        <v>47000</v>
      </c>
      <c r="L229" t="s">
        <v>52</v>
      </c>
    </row>
    <row r="230" spans="1:12" x14ac:dyDescent="0.35">
      <c r="A230">
        <v>1229</v>
      </c>
      <c r="B230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  <c r="I230" s="10">
        <f t="shared" si="3"/>
        <v>53100</v>
      </c>
      <c r="J230" s="8">
        <v>0</v>
      </c>
      <c r="K230">
        <v>59000</v>
      </c>
      <c r="L230" t="s">
        <v>52</v>
      </c>
    </row>
    <row r="231" spans="1:12" x14ac:dyDescent="0.35">
      <c r="A231">
        <v>1230</v>
      </c>
      <c r="B23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  <c r="I231" s="10">
        <f t="shared" si="3"/>
        <v>765</v>
      </c>
      <c r="J231" s="8">
        <v>10</v>
      </c>
      <c r="K231">
        <v>8500</v>
      </c>
      <c r="L231" t="s">
        <v>52</v>
      </c>
    </row>
    <row r="232" spans="1:12" x14ac:dyDescent="0.35">
      <c r="A232">
        <v>1231</v>
      </c>
      <c r="B232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  <c r="I232" s="10">
        <f t="shared" si="3"/>
        <v>3150</v>
      </c>
      <c r="J232" s="8">
        <v>0</v>
      </c>
      <c r="K232">
        <v>7000</v>
      </c>
      <c r="L232" t="s">
        <v>53</v>
      </c>
    </row>
    <row r="233" spans="1:12" x14ac:dyDescent="0.35">
      <c r="A233">
        <v>1232</v>
      </c>
      <c r="B233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  <c r="I233" s="10">
        <f t="shared" si="3"/>
        <v>2340</v>
      </c>
      <c r="J233" s="8">
        <v>5</v>
      </c>
      <c r="K233">
        <v>7800</v>
      </c>
      <c r="L233" t="s">
        <v>53</v>
      </c>
    </row>
    <row r="234" spans="1:12" x14ac:dyDescent="0.35">
      <c r="A234">
        <v>1233</v>
      </c>
      <c r="B234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  <c r="I234" s="10">
        <f t="shared" si="3"/>
        <v>52200</v>
      </c>
      <c r="J234" s="8">
        <v>0</v>
      </c>
      <c r="K234">
        <v>116000</v>
      </c>
      <c r="L234" t="s">
        <v>53</v>
      </c>
    </row>
    <row r="235" spans="1:12" x14ac:dyDescent="0.35">
      <c r="A235">
        <v>1234</v>
      </c>
      <c r="B235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  <c r="I235" s="10">
        <f t="shared" si="3"/>
        <v>9900</v>
      </c>
      <c r="J235" s="8">
        <v>0</v>
      </c>
      <c r="K235">
        <v>11000</v>
      </c>
      <c r="L235" t="s">
        <v>53</v>
      </c>
    </row>
    <row r="236" spans="1:12" x14ac:dyDescent="0.35">
      <c r="A236">
        <v>1235</v>
      </c>
      <c r="B236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  <c r="I236" s="10">
        <f t="shared" si="3"/>
        <v>1980</v>
      </c>
      <c r="J236" s="8">
        <v>15</v>
      </c>
      <c r="K236">
        <v>2200</v>
      </c>
      <c r="L236" t="s">
        <v>53</v>
      </c>
    </row>
    <row r="237" spans="1:12" x14ac:dyDescent="0.35">
      <c r="A237">
        <v>1236</v>
      </c>
      <c r="B237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  <c r="I237" s="10">
        <f t="shared" si="3"/>
        <v>2880</v>
      </c>
      <c r="J237" s="8">
        <v>5</v>
      </c>
      <c r="K237">
        <v>12800</v>
      </c>
      <c r="L237" t="s">
        <v>53</v>
      </c>
    </row>
    <row r="238" spans="1:12" x14ac:dyDescent="0.35">
      <c r="A238">
        <v>1237</v>
      </c>
      <c r="B238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  <c r="I238" s="10">
        <f t="shared" si="3"/>
        <v>42300</v>
      </c>
      <c r="J238" s="8">
        <v>0</v>
      </c>
      <c r="K238">
        <v>94000</v>
      </c>
      <c r="L238" t="s">
        <v>53</v>
      </c>
    </row>
    <row r="239" spans="1:12" x14ac:dyDescent="0.35">
      <c r="A239">
        <v>1238</v>
      </c>
      <c r="B239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  <c r="I239" s="10">
        <f t="shared" si="3"/>
        <v>53100</v>
      </c>
      <c r="J239" s="8">
        <v>10</v>
      </c>
      <c r="K239">
        <v>59000</v>
      </c>
      <c r="L239" t="s">
        <v>53</v>
      </c>
    </row>
    <row r="240" spans="1:12" x14ac:dyDescent="0.35">
      <c r="A240">
        <v>1239</v>
      </c>
      <c r="B240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  <c r="I240" s="10">
        <f t="shared" si="3"/>
        <v>765</v>
      </c>
      <c r="J240" s="8">
        <v>0</v>
      </c>
      <c r="K240">
        <v>850</v>
      </c>
      <c r="L240" t="s">
        <v>53</v>
      </c>
    </row>
    <row r="241" spans="1:12" x14ac:dyDescent="0.35">
      <c r="A241">
        <v>1240</v>
      </c>
      <c r="B24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  <c r="I241" s="10">
        <f t="shared" si="3"/>
        <v>2250</v>
      </c>
      <c r="J241" s="8">
        <v>0</v>
      </c>
      <c r="K241">
        <v>12500</v>
      </c>
      <c r="L241" t="s">
        <v>53</v>
      </c>
    </row>
    <row r="242" spans="1:12" x14ac:dyDescent="0.35">
      <c r="A242">
        <v>1241</v>
      </c>
      <c r="B242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  <c r="I242" s="10">
        <f t="shared" si="3"/>
        <v>10800</v>
      </c>
      <c r="J242" s="8">
        <v>5</v>
      </c>
      <c r="K242">
        <v>24000</v>
      </c>
      <c r="L242" t="s">
        <v>52</v>
      </c>
    </row>
    <row r="243" spans="1:12" x14ac:dyDescent="0.35">
      <c r="A243">
        <v>1242</v>
      </c>
      <c r="B243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  <c r="I243" s="10">
        <f t="shared" si="3"/>
        <v>1800</v>
      </c>
      <c r="J243" s="8">
        <v>0</v>
      </c>
      <c r="K243">
        <v>10000</v>
      </c>
      <c r="L243" t="s">
        <v>52</v>
      </c>
    </row>
    <row r="244" spans="1:12" x14ac:dyDescent="0.35">
      <c r="A244">
        <v>1243</v>
      </c>
      <c r="B244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  <c r="I244" s="10">
        <f t="shared" si="3"/>
        <v>2700</v>
      </c>
      <c r="J244" s="8">
        <v>0</v>
      </c>
      <c r="K244">
        <v>9000</v>
      </c>
      <c r="L244" t="s">
        <v>52</v>
      </c>
    </row>
    <row r="245" spans="1:12" x14ac:dyDescent="0.35">
      <c r="A245">
        <v>1244</v>
      </c>
      <c r="B245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  <c r="I245" s="10">
        <f t="shared" si="3"/>
        <v>54000</v>
      </c>
      <c r="J245" s="8">
        <v>5</v>
      </c>
      <c r="K245">
        <v>240000</v>
      </c>
      <c r="L245" t="s">
        <v>52</v>
      </c>
    </row>
    <row r="246" spans="1:12" x14ac:dyDescent="0.35">
      <c r="A246">
        <v>1245</v>
      </c>
      <c r="B246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  <c r="I246" s="10">
        <f t="shared" si="3"/>
        <v>40500</v>
      </c>
      <c r="J246" s="8">
        <v>10</v>
      </c>
      <c r="K246">
        <v>90000</v>
      </c>
      <c r="L246" t="s">
        <v>52</v>
      </c>
    </row>
    <row r="247" spans="1:12" x14ac:dyDescent="0.35">
      <c r="A247">
        <v>1246</v>
      </c>
      <c r="B247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  <c r="I247" s="10">
        <f t="shared" si="3"/>
        <v>720</v>
      </c>
      <c r="J247" s="8">
        <v>0</v>
      </c>
      <c r="K247">
        <v>4800</v>
      </c>
      <c r="L247" t="s">
        <v>52</v>
      </c>
    </row>
    <row r="248" spans="1:12" x14ac:dyDescent="0.35">
      <c r="A248">
        <v>1247</v>
      </c>
      <c r="B248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  <c r="I248" s="10">
        <f t="shared" si="3"/>
        <v>18900</v>
      </c>
      <c r="J248" s="8">
        <v>0</v>
      </c>
      <c r="K248">
        <v>63000</v>
      </c>
      <c r="L248" t="s">
        <v>52</v>
      </c>
    </row>
    <row r="249" spans="1:12" x14ac:dyDescent="0.35">
      <c r="A249">
        <v>1248</v>
      </c>
      <c r="B249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  <c r="I249" s="10">
        <f t="shared" si="3"/>
        <v>3150</v>
      </c>
      <c r="J249" s="8">
        <v>0</v>
      </c>
      <c r="K249">
        <v>3500</v>
      </c>
      <c r="L249" t="s">
        <v>52</v>
      </c>
    </row>
    <row r="250" spans="1:12" x14ac:dyDescent="0.35">
      <c r="A250">
        <v>1249</v>
      </c>
      <c r="B250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  <c r="I250" s="10">
        <f t="shared" si="3"/>
        <v>2340</v>
      </c>
      <c r="J250" s="8">
        <v>0</v>
      </c>
      <c r="K250">
        <v>2600</v>
      </c>
      <c r="L250" t="s">
        <v>52</v>
      </c>
    </row>
    <row r="251" spans="1:12" x14ac:dyDescent="0.35">
      <c r="A251">
        <v>1250</v>
      </c>
      <c r="B25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  <c r="I251" s="10">
        <f t="shared" si="3"/>
        <v>52200</v>
      </c>
      <c r="J251" s="8">
        <v>5</v>
      </c>
      <c r="K251">
        <v>580000</v>
      </c>
      <c r="L251" t="s">
        <v>52</v>
      </c>
    </row>
    <row r="252" spans="1:12" x14ac:dyDescent="0.35">
      <c r="A252">
        <v>1251</v>
      </c>
      <c r="B252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  <c r="I252" s="10">
        <f t="shared" si="3"/>
        <v>9900</v>
      </c>
      <c r="J252" s="8">
        <v>0</v>
      </c>
      <c r="K252">
        <v>22000</v>
      </c>
      <c r="L252" t="s">
        <v>53</v>
      </c>
    </row>
    <row r="253" spans="1:12" x14ac:dyDescent="0.35">
      <c r="A253">
        <v>1252</v>
      </c>
      <c r="B253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  <c r="I253" s="10">
        <f t="shared" si="3"/>
        <v>1980</v>
      </c>
      <c r="J253" s="8">
        <v>0</v>
      </c>
      <c r="K253">
        <v>6600</v>
      </c>
      <c r="L253" t="s">
        <v>53</v>
      </c>
    </row>
    <row r="254" spans="1:12" x14ac:dyDescent="0.35">
      <c r="A254">
        <v>1253</v>
      </c>
      <c r="B254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  <c r="I254" s="10">
        <f t="shared" si="3"/>
        <v>49500</v>
      </c>
      <c r="J254" s="8">
        <v>5</v>
      </c>
      <c r="K254">
        <v>110000</v>
      </c>
      <c r="L254" t="s">
        <v>53</v>
      </c>
    </row>
    <row r="255" spans="1:12" x14ac:dyDescent="0.35">
      <c r="A255">
        <v>1254</v>
      </c>
      <c r="B255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  <c r="I255" s="10">
        <f t="shared" si="3"/>
        <v>3150</v>
      </c>
      <c r="J255" s="8">
        <v>10</v>
      </c>
      <c r="K255">
        <v>3500</v>
      </c>
      <c r="L255" t="s">
        <v>53</v>
      </c>
    </row>
    <row r="256" spans="1:12" x14ac:dyDescent="0.35">
      <c r="A256">
        <v>1255</v>
      </c>
      <c r="B256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  <c r="I256" s="10">
        <f t="shared" si="3"/>
        <v>19800</v>
      </c>
      <c r="J256" s="8">
        <v>0</v>
      </c>
      <c r="K256">
        <v>22000</v>
      </c>
      <c r="L256" t="s">
        <v>53</v>
      </c>
    </row>
    <row r="257" spans="1:12" x14ac:dyDescent="0.35">
      <c r="A257">
        <v>1256</v>
      </c>
      <c r="B257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  <c r="I257" s="10">
        <f t="shared" si="3"/>
        <v>2250</v>
      </c>
      <c r="J257" s="8">
        <v>0</v>
      </c>
      <c r="K257">
        <v>10000</v>
      </c>
      <c r="L257" t="s">
        <v>53</v>
      </c>
    </row>
    <row r="258" spans="1:12" x14ac:dyDescent="0.35">
      <c r="A258">
        <v>1257</v>
      </c>
      <c r="B258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  <c r="I258" s="10">
        <f t="shared" si="3"/>
        <v>10800</v>
      </c>
      <c r="J258" s="8">
        <v>5</v>
      </c>
      <c r="K258">
        <v>24000</v>
      </c>
      <c r="L258" t="s">
        <v>53</v>
      </c>
    </row>
    <row r="259" spans="1:12" x14ac:dyDescent="0.35">
      <c r="A259">
        <v>1258</v>
      </c>
      <c r="B259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  <c r="I259" s="10">
        <f t="shared" si="3"/>
        <v>1800</v>
      </c>
      <c r="J259" s="8">
        <v>0</v>
      </c>
      <c r="K259">
        <v>2000</v>
      </c>
      <c r="L259" t="s">
        <v>53</v>
      </c>
    </row>
    <row r="260" spans="1:12" x14ac:dyDescent="0.35">
      <c r="A260">
        <v>1259</v>
      </c>
      <c r="B260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  <c r="I260" s="10">
        <f t="shared" si="3"/>
        <v>2700</v>
      </c>
      <c r="J260" s="8">
        <v>10</v>
      </c>
      <c r="K260">
        <v>3000</v>
      </c>
      <c r="L260" t="s">
        <v>53</v>
      </c>
    </row>
    <row r="261" spans="1:12" x14ac:dyDescent="0.35">
      <c r="A261">
        <v>1260</v>
      </c>
      <c r="B26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  <c r="I261" s="10">
        <f t="shared" si="3"/>
        <v>54000</v>
      </c>
      <c r="J261" s="8">
        <v>0</v>
      </c>
      <c r="K261">
        <v>300000</v>
      </c>
      <c r="L261" t="s">
        <v>53</v>
      </c>
    </row>
    <row r="262" spans="1:12" x14ac:dyDescent="0.35">
      <c r="A262">
        <v>1261</v>
      </c>
      <c r="B262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  <c r="I262" s="10">
        <f t="shared" si="3"/>
        <v>40500</v>
      </c>
      <c r="J262" s="8">
        <v>5</v>
      </c>
      <c r="K262">
        <v>90000</v>
      </c>
      <c r="L262" t="s">
        <v>52</v>
      </c>
    </row>
    <row r="263" spans="1:12" x14ac:dyDescent="0.35">
      <c r="A263">
        <v>1262</v>
      </c>
      <c r="B263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  <c r="I263" s="10">
        <f t="shared" si="3"/>
        <v>720</v>
      </c>
      <c r="J263" s="8">
        <v>0</v>
      </c>
      <c r="K263">
        <v>4000</v>
      </c>
      <c r="L263" t="s">
        <v>52</v>
      </c>
    </row>
    <row r="264" spans="1:12" x14ac:dyDescent="0.35">
      <c r="A264">
        <v>1263</v>
      </c>
      <c r="B264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  <c r="I264" s="10">
        <f t="shared" si="3"/>
        <v>18900</v>
      </c>
      <c r="J264" s="8">
        <v>0</v>
      </c>
      <c r="K264">
        <v>63000</v>
      </c>
      <c r="L264" t="s">
        <v>52</v>
      </c>
    </row>
    <row r="265" spans="1:12" x14ac:dyDescent="0.35">
      <c r="A265">
        <v>1264</v>
      </c>
      <c r="B265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  <c r="I265" s="10">
        <f t="shared" si="3"/>
        <v>3150</v>
      </c>
      <c r="J265" s="8">
        <v>15</v>
      </c>
      <c r="K265">
        <v>14000</v>
      </c>
      <c r="L265" t="s">
        <v>52</v>
      </c>
    </row>
    <row r="266" spans="1:12" x14ac:dyDescent="0.35">
      <c r="A266">
        <v>1265</v>
      </c>
      <c r="B266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  <c r="I266" s="10">
        <f t="shared" si="3"/>
        <v>2340</v>
      </c>
      <c r="J266" s="8">
        <v>5</v>
      </c>
      <c r="K266">
        <v>5200</v>
      </c>
      <c r="L266" t="s">
        <v>52</v>
      </c>
    </row>
    <row r="267" spans="1:12" x14ac:dyDescent="0.35">
      <c r="A267">
        <v>1266</v>
      </c>
      <c r="B267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  <c r="I267" s="10">
        <f t="shared" si="3"/>
        <v>52200</v>
      </c>
      <c r="J267" s="8">
        <v>0</v>
      </c>
      <c r="K267">
        <v>348000</v>
      </c>
      <c r="L267" t="s">
        <v>52</v>
      </c>
    </row>
    <row r="268" spans="1:12" x14ac:dyDescent="0.35">
      <c r="A268">
        <v>1267</v>
      </c>
      <c r="B268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  <c r="I268" s="10">
        <f t="shared" si="3"/>
        <v>9900</v>
      </c>
      <c r="J268" s="8">
        <v>10</v>
      </c>
      <c r="K268">
        <v>33000</v>
      </c>
      <c r="L268" t="s">
        <v>52</v>
      </c>
    </row>
    <row r="269" spans="1:12" x14ac:dyDescent="0.35">
      <c r="A269">
        <v>1268</v>
      </c>
      <c r="B269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  <c r="I269" s="10">
        <f t="shared" si="3"/>
        <v>1980</v>
      </c>
      <c r="J269" s="8">
        <v>0</v>
      </c>
      <c r="K269">
        <v>2200</v>
      </c>
      <c r="L269" t="s">
        <v>52</v>
      </c>
    </row>
    <row r="270" spans="1:12" x14ac:dyDescent="0.35">
      <c r="A270">
        <v>1269</v>
      </c>
      <c r="B270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  <c r="I270" s="10">
        <f t="shared" si="3"/>
        <v>2880</v>
      </c>
      <c r="J270" s="8">
        <v>0</v>
      </c>
      <c r="K270">
        <v>3200</v>
      </c>
      <c r="L270" t="s">
        <v>52</v>
      </c>
    </row>
    <row r="271" spans="1:12" x14ac:dyDescent="0.35">
      <c r="A271">
        <v>1270</v>
      </c>
      <c r="B27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  <c r="I271" s="10">
        <f t="shared" si="3"/>
        <v>42300</v>
      </c>
      <c r="J271" s="8">
        <v>5</v>
      </c>
      <c r="K271">
        <v>470000</v>
      </c>
      <c r="L271" t="s">
        <v>52</v>
      </c>
    </row>
    <row r="272" spans="1:12" x14ac:dyDescent="0.35">
      <c r="A272">
        <v>1271</v>
      </c>
      <c r="B272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  <c r="I272" s="10">
        <f t="shared" si="3"/>
        <v>53100</v>
      </c>
      <c r="J272" s="8">
        <v>0</v>
      </c>
      <c r="K272">
        <v>118000</v>
      </c>
      <c r="L272" t="s">
        <v>53</v>
      </c>
    </row>
    <row r="273" spans="1:12" x14ac:dyDescent="0.35">
      <c r="A273">
        <v>1272</v>
      </c>
      <c r="B273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  <c r="I273" s="10">
        <f t="shared" si="3"/>
        <v>765</v>
      </c>
      <c r="J273" s="8">
        <v>0</v>
      </c>
      <c r="K273">
        <v>2550</v>
      </c>
      <c r="L273" t="s">
        <v>53</v>
      </c>
    </row>
    <row r="274" spans="1:12" x14ac:dyDescent="0.35">
      <c r="A274">
        <v>1273</v>
      </c>
      <c r="B274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  <c r="I274" s="10">
        <f t="shared" si="3"/>
        <v>3150</v>
      </c>
      <c r="J274" s="8">
        <v>5</v>
      </c>
      <c r="K274">
        <v>7000</v>
      </c>
      <c r="L274" t="s">
        <v>53</v>
      </c>
    </row>
    <row r="275" spans="1:12" x14ac:dyDescent="0.35">
      <c r="A275">
        <v>1274</v>
      </c>
      <c r="B275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  <c r="I275" s="10">
        <f t="shared" si="3"/>
        <v>2340</v>
      </c>
      <c r="J275" s="8">
        <v>10</v>
      </c>
      <c r="K275">
        <v>2600</v>
      </c>
      <c r="L275" t="s">
        <v>53</v>
      </c>
    </row>
    <row r="276" spans="1:12" x14ac:dyDescent="0.35">
      <c r="A276">
        <v>1275</v>
      </c>
      <c r="B276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  <c r="I276" s="10">
        <f t="shared" si="3"/>
        <v>52200</v>
      </c>
      <c r="J276" s="8">
        <v>0</v>
      </c>
      <c r="K276">
        <v>58000</v>
      </c>
      <c r="L276" t="s">
        <v>53</v>
      </c>
    </row>
    <row r="277" spans="1:12" x14ac:dyDescent="0.35">
      <c r="A277">
        <v>1276</v>
      </c>
      <c r="B277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  <c r="I277" s="10">
        <f t="shared" si="3"/>
        <v>9900</v>
      </c>
      <c r="J277" s="8">
        <v>0</v>
      </c>
      <c r="K277">
        <v>44000</v>
      </c>
      <c r="L277" t="s">
        <v>53</v>
      </c>
    </row>
    <row r="278" spans="1:12" x14ac:dyDescent="0.35">
      <c r="A278">
        <v>1277</v>
      </c>
      <c r="B278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  <c r="I278" s="10">
        <f t="shared" si="3"/>
        <v>1980</v>
      </c>
      <c r="J278" s="8">
        <v>5</v>
      </c>
      <c r="K278">
        <v>4400</v>
      </c>
      <c r="L278" t="s">
        <v>53</v>
      </c>
    </row>
    <row r="279" spans="1:12" x14ac:dyDescent="0.35">
      <c r="A279">
        <v>1278</v>
      </c>
      <c r="B279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  <c r="I279" s="10">
        <f t="shared" ref="I279:I342" si="4">H279*90%</f>
        <v>2880</v>
      </c>
      <c r="J279" s="8">
        <v>0</v>
      </c>
      <c r="K279">
        <v>3200</v>
      </c>
      <c r="L279" t="s">
        <v>53</v>
      </c>
    </row>
    <row r="280" spans="1:12" x14ac:dyDescent="0.35">
      <c r="A280">
        <v>1279</v>
      </c>
      <c r="B280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  <c r="I280" s="10">
        <f t="shared" si="4"/>
        <v>42300</v>
      </c>
      <c r="J280" s="8">
        <v>10</v>
      </c>
      <c r="K280">
        <v>47000</v>
      </c>
      <c r="L280" t="s">
        <v>53</v>
      </c>
    </row>
    <row r="281" spans="1:12" x14ac:dyDescent="0.35">
      <c r="A281">
        <v>1280</v>
      </c>
      <c r="B28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  <c r="I281" s="10">
        <f t="shared" si="4"/>
        <v>53100</v>
      </c>
      <c r="J281" s="8">
        <v>0</v>
      </c>
      <c r="K281">
        <v>295000</v>
      </c>
      <c r="L281" t="s">
        <v>53</v>
      </c>
    </row>
    <row r="282" spans="1:12" x14ac:dyDescent="0.35">
      <c r="A282">
        <v>1281</v>
      </c>
      <c r="B282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  <c r="I282" s="10">
        <f t="shared" si="4"/>
        <v>765</v>
      </c>
      <c r="J282" s="8">
        <v>5</v>
      </c>
      <c r="K282">
        <v>1700</v>
      </c>
      <c r="L282" t="s">
        <v>52</v>
      </c>
    </row>
    <row r="283" spans="1:12" x14ac:dyDescent="0.35">
      <c r="A283">
        <v>1282</v>
      </c>
      <c r="B283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  <c r="I283" s="10">
        <f t="shared" si="4"/>
        <v>2250</v>
      </c>
      <c r="J283" s="8">
        <v>0</v>
      </c>
      <c r="K283">
        <v>12500</v>
      </c>
      <c r="L283" t="s">
        <v>52</v>
      </c>
    </row>
    <row r="284" spans="1:12" x14ac:dyDescent="0.35">
      <c r="A284">
        <v>1283</v>
      </c>
      <c r="B284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  <c r="I284" s="10">
        <f t="shared" si="4"/>
        <v>10800</v>
      </c>
      <c r="J284" s="8">
        <v>0</v>
      </c>
      <c r="K284">
        <v>36000</v>
      </c>
      <c r="L284" t="s">
        <v>52</v>
      </c>
    </row>
    <row r="285" spans="1:12" x14ac:dyDescent="0.35">
      <c r="A285">
        <v>1284</v>
      </c>
      <c r="B285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  <c r="I285" s="10">
        <f t="shared" si="4"/>
        <v>1800</v>
      </c>
      <c r="J285" s="8">
        <v>15</v>
      </c>
      <c r="K285">
        <v>8000</v>
      </c>
      <c r="L285" t="s">
        <v>52</v>
      </c>
    </row>
    <row r="286" spans="1:12" x14ac:dyDescent="0.35">
      <c r="A286">
        <v>1285</v>
      </c>
      <c r="B286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  <c r="I286" s="10">
        <f t="shared" si="4"/>
        <v>2700</v>
      </c>
      <c r="J286" s="8">
        <v>5</v>
      </c>
      <c r="K286">
        <v>6000</v>
      </c>
      <c r="L286" t="s">
        <v>52</v>
      </c>
    </row>
    <row r="287" spans="1:12" x14ac:dyDescent="0.35">
      <c r="A287">
        <v>1286</v>
      </c>
      <c r="B287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  <c r="I287" s="10">
        <f t="shared" si="4"/>
        <v>54000</v>
      </c>
      <c r="J287" s="8">
        <v>0</v>
      </c>
      <c r="K287">
        <v>360000</v>
      </c>
      <c r="L287" t="s">
        <v>52</v>
      </c>
    </row>
    <row r="288" spans="1:12" x14ac:dyDescent="0.35">
      <c r="A288">
        <v>1287</v>
      </c>
      <c r="B288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  <c r="I288" s="10">
        <f t="shared" si="4"/>
        <v>40500</v>
      </c>
      <c r="J288" s="8">
        <v>10</v>
      </c>
      <c r="K288">
        <v>135000</v>
      </c>
      <c r="L288" t="s">
        <v>52</v>
      </c>
    </row>
    <row r="289" spans="1:12" x14ac:dyDescent="0.35">
      <c r="A289">
        <v>1288</v>
      </c>
      <c r="B289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  <c r="I289" s="10">
        <f t="shared" si="4"/>
        <v>720</v>
      </c>
      <c r="J289" s="8">
        <v>0</v>
      </c>
      <c r="K289">
        <v>800</v>
      </c>
      <c r="L289" t="s">
        <v>52</v>
      </c>
    </row>
    <row r="290" spans="1:12" x14ac:dyDescent="0.35">
      <c r="A290">
        <v>1289</v>
      </c>
      <c r="B290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  <c r="I290" s="10">
        <f t="shared" si="4"/>
        <v>18900</v>
      </c>
      <c r="J290" s="8">
        <v>0</v>
      </c>
      <c r="K290">
        <v>21000</v>
      </c>
      <c r="L290" t="s">
        <v>52</v>
      </c>
    </row>
    <row r="291" spans="1:12" x14ac:dyDescent="0.35">
      <c r="A291">
        <v>1290</v>
      </c>
      <c r="B29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  <c r="I291" s="10">
        <f t="shared" si="4"/>
        <v>3150</v>
      </c>
      <c r="J291" s="8">
        <v>5</v>
      </c>
      <c r="K291">
        <v>35000</v>
      </c>
      <c r="L291" t="s">
        <v>52</v>
      </c>
    </row>
    <row r="292" spans="1:12" x14ac:dyDescent="0.35">
      <c r="A292">
        <v>1291</v>
      </c>
      <c r="B292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  <c r="I292" s="10">
        <f t="shared" si="4"/>
        <v>2340</v>
      </c>
      <c r="J292" s="8">
        <v>0</v>
      </c>
      <c r="K292">
        <v>5200</v>
      </c>
      <c r="L292" t="s">
        <v>53</v>
      </c>
    </row>
    <row r="293" spans="1:12" x14ac:dyDescent="0.35">
      <c r="A293">
        <v>1292</v>
      </c>
      <c r="B293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  <c r="I293" s="10">
        <f t="shared" si="4"/>
        <v>52200</v>
      </c>
      <c r="J293" s="8">
        <v>0</v>
      </c>
      <c r="K293">
        <v>174000</v>
      </c>
      <c r="L293" t="s">
        <v>53</v>
      </c>
    </row>
    <row r="294" spans="1:12" x14ac:dyDescent="0.35">
      <c r="A294">
        <v>1293</v>
      </c>
      <c r="B294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  <c r="I294" s="10">
        <f t="shared" si="4"/>
        <v>9900</v>
      </c>
      <c r="J294" s="8">
        <v>5</v>
      </c>
      <c r="K294">
        <v>22000</v>
      </c>
      <c r="L294" t="s">
        <v>53</v>
      </c>
    </row>
    <row r="295" spans="1:12" x14ac:dyDescent="0.35">
      <c r="A295">
        <v>1294</v>
      </c>
      <c r="B295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  <c r="I295" s="10">
        <f t="shared" si="4"/>
        <v>1980</v>
      </c>
      <c r="J295" s="8">
        <v>10</v>
      </c>
      <c r="K295">
        <v>2200</v>
      </c>
      <c r="L295" t="s">
        <v>53</v>
      </c>
    </row>
    <row r="296" spans="1:12" x14ac:dyDescent="0.35">
      <c r="A296">
        <v>1295</v>
      </c>
      <c r="B296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  <c r="I296" s="10">
        <f t="shared" si="4"/>
        <v>49500</v>
      </c>
      <c r="J296" s="8">
        <v>0</v>
      </c>
      <c r="K296">
        <v>55000</v>
      </c>
      <c r="L296" t="s">
        <v>53</v>
      </c>
    </row>
    <row r="297" spans="1:12" x14ac:dyDescent="0.35">
      <c r="A297">
        <v>1296</v>
      </c>
      <c r="B297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  <c r="I297" s="10">
        <f t="shared" si="4"/>
        <v>3150</v>
      </c>
      <c r="J297" s="8">
        <v>0</v>
      </c>
      <c r="K297">
        <v>14000</v>
      </c>
      <c r="L297" t="s">
        <v>53</v>
      </c>
    </row>
    <row r="298" spans="1:12" x14ac:dyDescent="0.35">
      <c r="A298">
        <v>1297</v>
      </c>
      <c r="B298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  <c r="I298" s="10">
        <f t="shared" si="4"/>
        <v>19800</v>
      </c>
      <c r="J298" s="8">
        <v>5</v>
      </c>
      <c r="K298">
        <v>44000</v>
      </c>
      <c r="L298" t="s">
        <v>53</v>
      </c>
    </row>
    <row r="299" spans="1:12" x14ac:dyDescent="0.35">
      <c r="A299">
        <v>1298</v>
      </c>
      <c r="B299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  <c r="I299" s="10">
        <f t="shared" si="4"/>
        <v>2250</v>
      </c>
      <c r="J299" s="8">
        <v>0</v>
      </c>
      <c r="K299">
        <v>2500</v>
      </c>
      <c r="L299" t="s">
        <v>53</v>
      </c>
    </row>
    <row r="300" spans="1:12" x14ac:dyDescent="0.35">
      <c r="A300">
        <v>1299</v>
      </c>
      <c r="B300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  <c r="I300" s="10">
        <f t="shared" si="4"/>
        <v>10800</v>
      </c>
      <c r="J300" s="8">
        <v>10</v>
      </c>
      <c r="K300">
        <v>12000</v>
      </c>
      <c r="L300" t="s">
        <v>53</v>
      </c>
    </row>
    <row r="301" spans="1:12" x14ac:dyDescent="0.35">
      <c r="A301">
        <v>1300</v>
      </c>
      <c r="B30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  <c r="I301" s="10">
        <f t="shared" si="4"/>
        <v>1800</v>
      </c>
      <c r="J301" s="8">
        <v>0</v>
      </c>
      <c r="K301">
        <v>10000</v>
      </c>
      <c r="L301" t="s">
        <v>53</v>
      </c>
    </row>
    <row r="302" spans="1:12" x14ac:dyDescent="0.35">
      <c r="A302">
        <v>1301</v>
      </c>
      <c r="B302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  <c r="I302" s="10">
        <f t="shared" si="4"/>
        <v>2700</v>
      </c>
      <c r="J302" s="8">
        <v>5</v>
      </c>
      <c r="K302">
        <v>6000</v>
      </c>
      <c r="L302" t="s">
        <v>52</v>
      </c>
    </row>
    <row r="303" spans="1:12" x14ac:dyDescent="0.35">
      <c r="A303">
        <v>1302</v>
      </c>
      <c r="B303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  <c r="I303" s="10">
        <f t="shared" si="4"/>
        <v>54000</v>
      </c>
      <c r="J303" s="8">
        <v>0</v>
      </c>
      <c r="K303">
        <v>300000</v>
      </c>
      <c r="L303" t="s">
        <v>52</v>
      </c>
    </row>
    <row r="304" spans="1:12" x14ac:dyDescent="0.35">
      <c r="A304">
        <v>1303</v>
      </c>
      <c r="B304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  <c r="I304" s="10">
        <f t="shared" si="4"/>
        <v>40500</v>
      </c>
      <c r="J304" s="8">
        <v>0</v>
      </c>
      <c r="K304">
        <v>135000</v>
      </c>
      <c r="L304" t="s">
        <v>52</v>
      </c>
    </row>
    <row r="305" spans="1:12" x14ac:dyDescent="0.35">
      <c r="A305">
        <v>1304</v>
      </c>
      <c r="B305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  <c r="I305" s="10">
        <f t="shared" si="4"/>
        <v>720</v>
      </c>
      <c r="J305" s="8">
        <v>15</v>
      </c>
      <c r="K305">
        <v>3200</v>
      </c>
      <c r="L305" t="s">
        <v>52</v>
      </c>
    </row>
    <row r="306" spans="1:12" x14ac:dyDescent="0.35">
      <c r="A306">
        <v>1305</v>
      </c>
      <c r="B306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  <c r="I306" s="10">
        <f t="shared" si="4"/>
        <v>18900</v>
      </c>
      <c r="J306" s="8">
        <v>5</v>
      </c>
      <c r="K306">
        <v>42000</v>
      </c>
      <c r="L306" t="s">
        <v>52</v>
      </c>
    </row>
    <row r="307" spans="1:12" x14ac:dyDescent="0.35">
      <c r="A307">
        <v>1306</v>
      </c>
      <c r="B307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  <c r="I307" s="10">
        <f t="shared" si="4"/>
        <v>3150</v>
      </c>
      <c r="J307" s="8">
        <v>0</v>
      </c>
      <c r="K307">
        <v>21000</v>
      </c>
      <c r="L307" t="s">
        <v>52</v>
      </c>
    </row>
    <row r="308" spans="1:12" x14ac:dyDescent="0.35">
      <c r="A308">
        <v>1307</v>
      </c>
      <c r="B308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  <c r="I308" s="10">
        <f t="shared" si="4"/>
        <v>2340</v>
      </c>
      <c r="J308" s="8">
        <v>10</v>
      </c>
      <c r="K308">
        <v>7800</v>
      </c>
      <c r="L308" t="s">
        <v>52</v>
      </c>
    </row>
    <row r="309" spans="1:12" x14ac:dyDescent="0.35">
      <c r="A309">
        <v>1308</v>
      </c>
      <c r="B309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  <c r="I309" s="10">
        <f t="shared" si="4"/>
        <v>52200</v>
      </c>
      <c r="J309" s="8">
        <v>0</v>
      </c>
      <c r="K309">
        <v>58000</v>
      </c>
      <c r="L309" t="s">
        <v>52</v>
      </c>
    </row>
    <row r="310" spans="1:12" x14ac:dyDescent="0.35">
      <c r="A310">
        <v>1309</v>
      </c>
      <c r="B310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  <c r="I310" s="10">
        <f t="shared" si="4"/>
        <v>9900</v>
      </c>
      <c r="J310" s="8">
        <v>0</v>
      </c>
      <c r="K310">
        <v>11000</v>
      </c>
      <c r="L310" t="s">
        <v>52</v>
      </c>
    </row>
    <row r="311" spans="1:12" x14ac:dyDescent="0.35">
      <c r="A311">
        <v>1310</v>
      </c>
      <c r="B31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  <c r="I311" s="10">
        <f t="shared" si="4"/>
        <v>1980</v>
      </c>
      <c r="J311" s="8">
        <v>5</v>
      </c>
      <c r="K311">
        <v>22000</v>
      </c>
      <c r="L311" t="s">
        <v>52</v>
      </c>
    </row>
    <row r="312" spans="1:12" x14ac:dyDescent="0.35">
      <c r="A312">
        <v>1311</v>
      </c>
      <c r="B312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  <c r="I312" s="10">
        <f t="shared" si="4"/>
        <v>2880</v>
      </c>
      <c r="J312" s="8">
        <v>0</v>
      </c>
      <c r="K312">
        <v>6400</v>
      </c>
      <c r="L312" t="s">
        <v>53</v>
      </c>
    </row>
    <row r="313" spans="1:12" x14ac:dyDescent="0.35">
      <c r="A313">
        <v>1312</v>
      </c>
      <c r="B313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  <c r="I313" s="10">
        <f t="shared" si="4"/>
        <v>42300</v>
      </c>
      <c r="J313" s="8">
        <v>0</v>
      </c>
      <c r="K313">
        <v>141000</v>
      </c>
      <c r="L313" t="s">
        <v>53</v>
      </c>
    </row>
    <row r="314" spans="1:12" x14ac:dyDescent="0.35">
      <c r="A314">
        <v>1313</v>
      </c>
      <c r="B314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  <c r="I314" s="10">
        <f t="shared" si="4"/>
        <v>53100</v>
      </c>
      <c r="J314" s="8">
        <v>5</v>
      </c>
      <c r="K314">
        <v>118000</v>
      </c>
      <c r="L314" t="s">
        <v>53</v>
      </c>
    </row>
    <row r="315" spans="1:12" x14ac:dyDescent="0.35">
      <c r="A315">
        <v>1314</v>
      </c>
      <c r="B315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  <c r="I315" s="10">
        <f t="shared" si="4"/>
        <v>765</v>
      </c>
      <c r="J315" s="8">
        <v>10</v>
      </c>
      <c r="K315">
        <v>850</v>
      </c>
      <c r="L315" t="s">
        <v>53</v>
      </c>
    </row>
    <row r="316" spans="1:12" x14ac:dyDescent="0.35">
      <c r="A316">
        <v>1315</v>
      </c>
      <c r="B316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  <c r="I316" s="10">
        <f t="shared" si="4"/>
        <v>3150</v>
      </c>
      <c r="J316" s="8">
        <v>0</v>
      </c>
      <c r="K316">
        <v>3500</v>
      </c>
      <c r="L316" t="s">
        <v>53</v>
      </c>
    </row>
    <row r="317" spans="1:12" x14ac:dyDescent="0.35">
      <c r="A317">
        <v>1316</v>
      </c>
      <c r="B317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  <c r="I317" s="10">
        <f t="shared" si="4"/>
        <v>2340</v>
      </c>
      <c r="J317" s="8">
        <v>0</v>
      </c>
      <c r="K317">
        <v>10400</v>
      </c>
      <c r="L317" t="s">
        <v>53</v>
      </c>
    </row>
    <row r="318" spans="1:12" x14ac:dyDescent="0.35">
      <c r="A318">
        <v>1317</v>
      </c>
      <c r="B318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  <c r="I318" s="10">
        <f t="shared" si="4"/>
        <v>52200</v>
      </c>
      <c r="J318" s="8">
        <v>0</v>
      </c>
      <c r="K318">
        <v>116000</v>
      </c>
      <c r="L318" t="s">
        <v>53</v>
      </c>
    </row>
    <row r="319" spans="1:12" x14ac:dyDescent="0.35">
      <c r="A319">
        <v>1318</v>
      </c>
      <c r="B319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  <c r="I319" s="10">
        <f t="shared" si="4"/>
        <v>9900</v>
      </c>
      <c r="J319" s="8">
        <v>0</v>
      </c>
      <c r="K319">
        <v>11000</v>
      </c>
      <c r="L319" t="s">
        <v>53</v>
      </c>
    </row>
    <row r="320" spans="1:12" x14ac:dyDescent="0.35">
      <c r="A320">
        <v>1319</v>
      </c>
      <c r="B320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  <c r="I320" s="10">
        <f t="shared" si="4"/>
        <v>1980</v>
      </c>
      <c r="J320" s="8">
        <v>5</v>
      </c>
      <c r="K320">
        <v>2200</v>
      </c>
      <c r="L320" t="s">
        <v>53</v>
      </c>
    </row>
    <row r="321" spans="1:12" x14ac:dyDescent="0.35">
      <c r="A321">
        <v>1320</v>
      </c>
      <c r="B32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  <c r="I321" s="10">
        <f t="shared" si="4"/>
        <v>2880</v>
      </c>
      <c r="J321" s="8">
        <v>0</v>
      </c>
      <c r="K321">
        <v>16000</v>
      </c>
      <c r="L321" t="s">
        <v>53</v>
      </c>
    </row>
    <row r="322" spans="1:12" x14ac:dyDescent="0.35">
      <c r="A322">
        <v>1321</v>
      </c>
      <c r="B322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  <c r="I322" s="10">
        <f t="shared" si="4"/>
        <v>42300</v>
      </c>
      <c r="J322" s="8">
        <v>0</v>
      </c>
      <c r="K322">
        <v>94000</v>
      </c>
      <c r="L322" t="s">
        <v>52</v>
      </c>
    </row>
    <row r="323" spans="1:12" x14ac:dyDescent="0.35">
      <c r="A323">
        <v>1322</v>
      </c>
      <c r="B323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  <c r="I323" s="10">
        <f t="shared" si="4"/>
        <v>53100</v>
      </c>
      <c r="J323" s="8">
        <v>5</v>
      </c>
      <c r="K323">
        <v>295000</v>
      </c>
      <c r="L323" t="s">
        <v>52</v>
      </c>
    </row>
    <row r="324" spans="1:12" x14ac:dyDescent="0.35">
      <c r="A324">
        <v>1323</v>
      </c>
      <c r="B324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  <c r="I324" s="10">
        <f t="shared" si="4"/>
        <v>765</v>
      </c>
      <c r="J324" s="8">
        <v>10</v>
      </c>
      <c r="K324">
        <v>2550</v>
      </c>
      <c r="L324" t="s">
        <v>52</v>
      </c>
    </row>
    <row r="325" spans="1:12" x14ac:dyDescent="0.35">
      <c r="A325">
        <v>1324</v>
      </c>
      <c r="B325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  <c r="I325" s="10">
        <f t="shared" si="4"/>
        <v>2250</v>
      </c>
      <c r="J325" s="8">
        <v>0</v>
      </c>
      <c r="K325">
        <v>10000</v>
      </c>
      <c r="L325" t="s">
        <v>52</v>
      </c>
    </row>
    <row r="326" spans="1:12" x14ac:dyDescent="0.35">
      <c r="A326">
        <v>1325</v>
      </c>
      <c r="B326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  <c r="I326" s="10">
        <f t="shared" si="4"/>
        <v>10800</v>
      </c>
      <c r="J326" s="8">
        <v>0</v>
      </c>
      <c r="K326">
        <v>24000</v>
      </c>
      <c r="L326" t="s">
        <v>52</v>
      </c>
    </row>
    <row r="327" spans="1:12" x14ac:dyDescent="0.35">
      <c r="A327">
        <v>1326</v>
      </c>
      <c r="B327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  <c r="I327" s="10">
        <f t="shared" si="4"/>
        <v>1800</v>
      </c>
      <c r="J327" s="8">
        <v>5</v>
      </c>
      <c r="K327">
        <v>12000</v>
      </c>
      <c r="L327" t="s">
        <v>52</v>
      </c>
    </row>
    <row r="328" spans="1:12" x14ac:dyDescent="0.35">
      <c r="A328">
        <v>1327</v>
      </c>
      <c r="B328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  <c r="I328" s="10">
        <f t="shared" si="4"/>
        <v>2700</v>
      </c>
      <c r="J328" s="8">
        <v>0</v>
      </c>
      <c r="K328">
        <v>9000</v>
      </c>
      <c r="L328" t="s">
        <v>52</v>
      </c>
    </row>
    <row r="329" spans="1:12" x14ac:dyDescent="0.35">
      <c r="A329">
        <v>1328</v>
      </c>
      <c r="B329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  <c r="I329" s="10">
        <f t="shared" si="4"/>
        <v>54000</v>
      </c>
      <c r="J329" s="8">
        <v>10</v>
      </c>
      <c r="K329">
        <v>60000</v>
      </c>
      <c r="L329" t="s">
        <v>52</v>
      </c>
    </row>
    <row r="330" spans="1:12" x14ac:dyDescent="0.35">
      <c r="A330">
        <v>1329</v>
      </c>
      <c r="B330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  <c r="I330" s="10">
        <f t="shared" si="4"/>
        <v>40500</v>
      </c>
      <c r="J330" s="8">
        <v>0</v>
      </c>
      <c r="K330">
        <v>45000</v>
      </c>
      <c r="L330" t="s">
        <v>52</v>
      </c>
    </row>
    <row r="331" spans="1:12" x14ac:dyDescent="0.35">
      <c r="A331">
        <v>1330</v>
      </c>
      <c r="B33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  <c r="I331" s="10">
        <f t="shared" si="4"/>
        <v>720</v>
      </c>
      <c r="J331" s="8">
        <v>5</v>
      </c>
      <c r="K331">
        <v>8000</v>
      </c>
      <c r="L331" t="s">
        <v>52</v>
      </c>
    </row>
    <row r="332" spans="1:12" x14ac:dyDescent="0.35">
      <c r="A332">
        <v>1331</v>
      </c>
      <c r="B332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  <c r="I332" s="10">
        <f t="shared" si="4"/>
        <v>18900</v>
      </c>
      <c r="J332" s="8">
        <v>0</v>
      </c>
      <c r="K332">
        <v>42000</v>
      </c>
      <c r="L332" t="s">
        <v>53</v>
      </c>
    </row>
    <row r="333" spans="1:12" x14ac:dyDescent="0.35">
      <c r="A333">
        <v>1332</v>
      </c>
      <c r="B333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  <c r="I333" s="10">
        <f t="shared" si="4"/>
        <v>3150</v>
      </c>
      <c r="J333" s="8">
        <v>0</v>
      </c>
      <c r="K333">
        <v>10500</v>
      </c>
      <c r="L333" t="s">
        <v>53</v>
      </c>
    </row>
    <row r="334" spans="1:12" x14ac:dyDescent="0.35">
      <c r="A334">
        <v>1333</v>
      </c>
      <c r="B334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  <c r="I334" s="10">
        <f t="shared" si="4"/>
        <v>2340</v>
      </c>
      <c r="J334" s="8">
        <v>15</v>
      </c>
      <c r="K334">
        <v>5200</v>
      </c>
      <c r="L334" t="s">
        <v>53</v>
      </c>
    </row>
    <row r="335" spans="1:12" x14ac:dyDescent="0.35">
      <c r="A335">
        <v>1334</v>
      </c>
      <c r="B335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  <c r="I335" s="10">
        <f t="shared" si="4"/>
        <v>52200</v>
      </c>
      <c r="J335" s="8">
        <v>5</v>
      </c>
      <c r="K335">
        <v>58000</v>
      </c>
      <c r="L335" t="s">
        <v>53</v>
      </c>
    </row>
    <row r="336" spans="1:12" x14ac:dyDescent="0.35">
      <c r="A336">
        <v>1335</v>
      </c>
      <c r="B336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  <c r="I336" s="10">
        <f t="shared" si="4"/>
        <v>9900</v>
      </c>
      <c r="J336" s="8">
        <v>0</v>
      </c>
      <c r="K336">
        <v>11000</v>
      </c>
      <c r="L336" t="s">
        <v>53</v>
      </c>
    </row>
    <row r="337" spans="1:12" x14ac:dyDescent="0.35">
      <c r="A337">
        <v>1336</v>
      </c>
      <c r="B337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  <c r="I337" s="10">
        <f t="shared" si="4"/>
        <v>1980</v>
      </c>
      <c r="J337" s="8">
        <v>10</v>
      </c>
      <c r="K337">
        <v>8800</v>
      </c>
      <c r="L337" t="s">
        <v>53</v>
      </c>
    </row>
    <row r="338" spans="1:12" x14ac:dyDescent="0.35">
      <c r="A338">
        <v>1337</v>
      </c>
      <c r="B338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  <c r="I338" s="10">
        <f t="shared" si="4"/>
        <v>49500</v>
      </c>
      <c r="J338" s="8">
        <v>0</v>
      </c>
      <c r="K338">
        <v>110000</v>
      </c>
      <c r="L338" t="s">
        <v>53</v>
      </c>
    </row>
    <row r="339" spans="1:12" x14ac:dyDescent="0.35">
      <c r="A339">
        <v>1338</v>
      </c>
      <c r="B339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  <c r="I339" s="10">
        <f t="shared" si="4"/>
        <v>3150</v>
      </c>
      <c r="J339" s="8">
        <v>0</v>
      </c>
      <c r="K339">
        <v>3500</v>
      </c>
      <c r="L339" t="s">
        <v>53</v>
      </c>
    </row>
    <row r="340" spans="1:12" x14ac:dyDescent="0.35">
      <c r="A340">
        <v>1339</v>
      </c>
      <c r="B340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  <c r="I340" s="10">
        <f t="shared" si="4"/>
        <v>19800</v>
      </c>
      <c r="J340" s="8">
        <v>5</v>
      </c>
      <c r="K340">
        <v>22000</v>
      </c>
      <c r="L340" t="s">
        <v>53</v>
      </c>
    </row>
    <row r="341" spans="1:12" x14ac:dyDescent="0.35">
      <c r="A341">
        <v>1340</v>
      </c>
      <c r="B34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  <c r="I341" s="10">
        <f t="shared" si="4"/>
        <v>2250</v>
      </c>
      <c r="J341" s="8">
        <v>0</v>
      </c>
      <c r="K341">
        <v>12500</v>
      </c>
      <c r="L341" t="s">
        <v>53</v>
      </c>
    </row>
    <row r="342" spans="1:12" x14ac:dyDescent="0.35">
      <c r="A342">
        <v>1341</v>
      </c>
      <c r="B342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  <c r="I342" s="10">
        <f t="shared" si="4"/>
        <v>10800</v>
      </c>
      <c r="J342" s="8">
        <v>0</v>
      </c>
      <c r="K342">
        <v>24000</v>
      </c>
      <c r="L342" t="s">
        <v>52</v>
      </c>
    </row>
    <row r="343" spans="1:12" x14ac:dyDescent="0.35">
      <c r="A343">
        <v>1342</v>
      </c>
      <c r="B343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  <c r="I343" s="10">
        <f t="shared" ref="I343:I352" si="5">H343*90%</f>
        <v>1800</v>
      </c>
      <c r="J343" s="8">
        <v>5</v>
      </c>
      <c r="K343">
        <v>10000</v>
      </c>
      <c r="L343" t="s">
        <v>52</v>
      </c>
    </row>
    <row r="344" spans="1:12" x14ac:dyDescent="0.35">
      <c r="A344">
        <v>1343</v>
      </c>
      <c r="B344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  <c r="I344" s="10">
        <f t="shared" si="5"/>
        <v>2700</v>
      </c>
      <c r="J344" s="8">
        <v>10</v>
      </c>
      <c r="K344">
        <v>9000</v>
      </c>
      <c r="L344" t="s">
        <v>52</v>
      </c>
    </row>
    <row r="345" spans="1:12" x14ac:dyDescent="0.35">
      <c r="A345">
        <v>1344</v>
      </c>
      <c r="B345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  <c r="I345" s="10">
        <f t="shared" si="5"/>
        <v>54000</v>
      </c>
      <c r="J345" s="8">
        <v>0</v>
      </c>
      <c r="K345">
        <v>240000</v>
      </c>
      <c r="L345" t="s">
        <v>52</v>
      </c>
    </row>
    <row r="346" spans="1:12" x14ac:dyDescent="0.35">
      <c r="A346">
        <v>1345</v>
      </c>
      <c r="B346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  <c r="I346" s="10">
        <f t="shared" si="5"/>
        <v>40500</v>
      </c>
      <c r="J346" s="8">
        <v>0</v>
      </c>
      <c r="K346">
        <v>90000</v>
      </c>
      <c r="L346" t="s">
        <v>52</v>
      </c>
    </row>
    <row r="347" spans="1:12" x14ac:dyDescent="0.35">
      <c r="A347">
        <v>1346</v>
      </c>
      <c r="B347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  <c r="I347" s="10">
        <f t="shared" si="5"/>
        <v>720</v>
      </c>
      <c r="J347" s="8">
        <v>5</v>
      </c>
      <c r="K347">
        <v>4800</v>
      </c>
      <c r="L347" t="s">
        <v>52</v>
      </c>
    </row>
    <row r="348" spans="1:12" x14ac:dyDescent="0.35">
      <c r="A348">
        <v>1347</v>
      </c>
      <c r="B348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  <c r="I348" s="10">
        <f t="shared" si="5"/>
        <v>18900</v>
      </c>
      <c r="J348" s="8">
        <v>0</v>
      </c>
      <c r="K348">
        <v>63000</v>
      </c>
      <c r="L348" t="s">
        <v>52</v>
      </c>
    </row>
    <row r="349" spans="1:12" x14ac:dyDescent="0.35">
      <c r="A349">
        <v>1348</v>
      </c>
      <c r="B349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3500</v>
      </c>
      <c r="I349" s="10">
        <f t="shared" si="5"/>
        <v>3150</v>
      </c>
      <c r="J349" s="8">
        <v>10</v>
      </c>
      <c r="K349">
        <v>3500</v>
      </c>
      <c r="L349" t="s">
        <v>52</v>
      </c>
    </row>
    <row r="350" spans="1:12" x14ac:dyDescent="0.35">
      <c r="A350">
        <v>1349</v>
      </c>
      <c r="B350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  <c r="I350" s="10">
        <f t="shared" si="5"/>
        <v>2340</v>
      </c>
      <c r="J350" s="8">
        <v>0</v>
      </c>
      <c r="K350">
        <v>2600</v>
      </c>
      <c r="L350" t="s">
        <v>52</v>
      </c>
    </row>
    <row r="351" spans="1:12" x14ac:dyDescent="0.35">
      <c r="A351">
        <v>1350</v>
      </c>
      <c r="B35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  <c r="I351" s="10">
        <f t="shared" si="5"/>
        <v>52200</v>
      </c>
      <c r="J351" s="8">
        <v>5</v>
      </c>
      <c r="K351">
        <v>580000</v>
      </c>
      <c r="L351" t="s">
        <v>52</v>
      </c>
    </row>
    <row r="352" spans="1:12" x14ac:dyDescent="0.35">
      <c r="A352">
        <v>1351</v>
      </c>
      <c r="B352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  <c r="I352" s="10">
        <f t="shared" si="5"/>
        <v>9900</v>
      </c>
      <c r="J352" s="8">
        <v>0</v>
      </c>
      <c r="K352">
        <v>22000</v>
      </c>
      <c r="L352" t="s">
        <v>53</v>
      </c>
    </row>
    <row r="353" spans="10:10" x14ac:dyDescent="0.35">
      <c r="J353" s="8"/>
    </row>
    <row r="354" spans="10:10" x14ac:dyDescent="0.35">
      <c r="J354" s="8"/>
    </row>
    <row r="355" spans="10:10" x14ac:dyDescent="0.35">
      <c r="J355" s="8"/>
    </row>
    <row r="356" spans="10:10" x14ac:dyDescent="0.35">
      <c r="J356" s="8"/>
    </row>
    <row r="357" spans="10:10" x14ac:dyDescent="0.35">
      <c r="J357" s="8"/>
    </row>
    <row r="358" spans="10:10" x14ac:dyDescent="0.35">
      <c r="J358" s="8"/>
    </row>
    <row r="359" spans="10:10" x14ac:dyDescent="0.35">
      <c r="J359" s="8"/>
    </row>
    <row r="360" spans="10:10" x14ac:dyDescent="0.35">
      <c r="J360" s="8"/>
    </row>
    <row r="361" spans="10:10" x14ac:dyDescent="0.35">
      <c r="J361" s="8"/>
    </row>
    <row r="362" spans="10:10" x14ac:dyDescent="0.35">
      <c r="J362" s="8"/>
    </row>
    <row r="363" spans="10:10" x14ac:dyDescent="0.35">
      <c r="J363" s="8"/>
    </row>
    <row r="364" spans="10:10" x14ac:dyDescent="0.35">
      <c r="J364" s="8"/>
    </row>
    <row r="365" spans="10:10" x14ac:dyDescent="0.35">
      <c r="J365" s="8"/>
    </row>
    <row r="366" spans="10:10" x14ac:dyDescent="0.35">
      <c r="J366" s="8"/>
    </row>
    <row r="367" spans="10:10" x14ac:dyDescent="0.35">
      <c r="J367" s="8"/>
    </row>
    <row r="368" spans="10:10" x14ac:dyDescent="0.35">
      <c r="J368" s="8"/>
    </row>
    <row r="369" spans="10:10" x14ac:dyDescent="0.35">
      <c r="J369" s="8"/>
    </row>
    <row r="370" spans="10:10" x14ac:dyDescent="0.35">
      <c r="J370" s="8"/>
    </row>
    <row r="371" spans="10:10" x14ac:dyDescent="0.35">
      <c r="J371" s="8"/>
    </row>
    <row r="372" spans="10:10" x14ac:dyDescent="0.35">
      <c r="J372" s="8"/>
    </row>
    <row r="373" spans="10:10" x14ac:dyDescent="0.35">
      <c r="J373" s="8"/>
    </row>
    <row r="374" spans="10:10" x14ac:dyDescent="0.35">
      <c r="J374" s="8"/>
    </row>
    <row r="375" spans="10:10" x14ac:dyDescent="0.35">
      <c r="J375" s="8"/>
    </row>
    <row r="376" spans="10:10" x14ac:dyDescent="0.35">
      <c r="J376" s="8"/>
    </row>
    <row r="377" spans="10:10" x14ac:dyDescent="0.35">
      <c r="J377" s="8"/>
    </row>
    <row r="378" spans="10:10" x14ac:dyDescent="0.35">
      <c r="J378" s="8"/>
    </row>
    <row r="379" spans="10:10" x14ac:dyDescent="0.35">
      <c r="J379" s="8"/>
    </row>
    <row r="380" spans="10:10" x14ac:dyDescent="0.35">
      <c r="J380" s="8"/>
    </row>
    <row r="381" spans="10:10" x14ac:dyDescent="0.35">
      <c r="J381" s="8"/>
    </row>
    <row r="382" spans="10:10" x14ac:dyDescent="0.35">
      <c r="J382" s="8"/>
    </row>
    <row r="383" spans="10:10" x14ac:dyDescent="0.35">
      <c r="J383" s="8"/>
    </row>
    <row r="384" spans="10:10" x14ac:dyDescent="0.35">
      <c r="J384" s="8"/>
    </row>
    <row r="385" spans="10:10" x14ac:dyDescent="0.35">
      <c r="J385" s="8"/>
    </row>
    <row r="386" spans="10:10" x14ac:dyDescent="0.35">
      <c r="J386" s="8"/>
    </row>
    <row r="387" spans="10:10" x14ac:dyDescent="0.35">
      <c r="J387" s="8"/>
    </row>
    <row r="388" spans="10:10" x14ac:dyDescent="0.35">
      <c r="J388" s="8"/>
    </row>
    <row r="389" spans="10:10" x14ac:dyDescent="0.35">
      <c r="J389" s="8"/>
    </row>
    <row r="390" spans="10:10" x14ac:dyDescent="0.35">
      <c r="J390" s="8"/>
    </row>
    <row r="391" spans="10:10" x14ac:dyDescent="0.35">
      <c r="J391" s="8"/>
    </row>
    <row r="392" spans="10:10" x14ac:dyDescent="0.35">
      <c r="J392" s="8"/>
    </row>
    <row r="393" spans="10:10" x14ac:dyDescent="0.35">
      <c r="J393" s="8"/>
    </row>
    <row r="394" spans="10:10" x14ac:dyDescent="0.35">
      <c r="J394" s="8"/>
    </row>
    <row r="395" spans="10:10" x14ac:dyDescent="0.35">
      <c r="J395" s="8"/>
    </row>
    <row r="396" spans="10:10" x14ac:dyDescent="0.35">
      <c r="J396" s="8"/>
    </row>
    <row r="397" spans="10:10" x14ac:dyDescent="0.35">
      <c r="J397" s="8"/>
    </row>
    <row r="398" spans="10:10" x14ac:dyDescent="0.35">
      <c r="J398" s="8"/>
    </row>
    <row r="399" spans="10:10" x14ac:dyDescent="0.35">
      <c r="J399" s="8"/>
    </row>
    <row r="400" spans="10:10" x14ac:dyDescent="0.35">
      <c r="J400" s="8"/>
    </row>
    <row r="401" spans="10:10" x14ac:dyDescent="0.35">
      <c r="J401" s="8"/>
    </row>
    <row r="402" spans="10:10" x14ac:dyDescent="0.35">
      <c r="J402" s="8"/>
    </row>
    <row r="403" spans="10:10" x14ac:dyDescent="0.35">
      <c r="J403" s="8"/>
    </row>
    <row r="404" spans="10:10" x14ac:dyDescent="0.35">
      <c r="J404" s="8"/>
    </row>
    <row r="405" spans="10:10" x14ac:dyDescent="0.35">
      <c r="J405" s="8"/>
    </row>
    <row r="406" spans="10:10" x14ac:dyDescent="0.35">
      <c r="J406" s="8"/>
    </row>
    <row r="407" spans="10:10" x14ac:dyDescent="0.35">
      <c r="J407" s="8"/>
    </row>
    <row r="408" spans="10:10" x14ac:dyDescent="0.35">
      <c r="J408" s="8"/>
    </row>
    <row r="409" spans="10:10" x14ac:dyDescent="0.35">
      <c r="J409" s="8"/>
    </row>
    <row r="410" spans="10:10" x14ac:dyDescent="0.35">
      <c r="J410" s="8"/>
    </row>
    <row r="411" spans="10:10" x14ac:dyDescent="0.35">
      <c r="J411" s="8"/>
    </row>
    <row r="412" spans="10:10" x14ac:dyDescent="0.35">
      <c r="J412" s="8"/>
    </row>
    <row r="413" spans="10:10" x14ac:dyDescent="0.35">
      <c r="J413" s="8"/>
    </row>
    <row r="414" spans="10:10" x14ac:dyDescent="0.35">
      <c r="J414" s="8"/>
    </row>
    <row r="415" spans="10:10" x14ac:dyDescent="0.35">
      <c r="J4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2A15-44F4-4F9C-BF37-8DDD621ECDDD}">
  <dimension ref="A1:K21"/>
  <sheetViews>
    <sheetView topLeftCell="A13" workbookViewId="0">
      <selection activeCell="J1" sqref="J1:K21"/>
    </sheetView>
  </sheetViews>
  <sheetFormatPr defaultRowHeight="14.5" x14ac:dyDescent="0.35"/>
  <sheetData>
    <row r="1" spans="1:11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54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55</v>
      </c>
      <c r="K1" s="7" t="s">
        <v>56</v>
      </c>
    </row>
    <row r="2" spans="1:11" ht="29" x14ac:dyDescent="0.35">
      <c r="A2" s="8">
        <v>1001</v>
      </c>
      <c r="B2" s="9">
        <v>45660</v>
      </c>
      <c r="C2" s="8" t="s">
        <v>8</v>
      </c>
      <c r="D2" s="8" t="s">
        <v>9</v>
      </c>
      <c r="E2" s="8" t="s">
        <v>57</v>
      </c>
      <c r="F2" s="8" t="s">
        <v>10</v>
      </c>
      <c r="G2" s="8" t="s">
        <v>11</v>
      </c>
      <c r="H2" s="8">
        <v>2</v>
      </c>
      <c r="I2" s="8">
        <v>55000</v>
      </c>
      <c r="J2" s="8">
        <v>48000</v>
      </c>
      <c r="K2" s="8">
        <v>5</v>
      </c>
    </row>
    <row r="3" spans="1:11" ht="29" x14ac:dyDescent="0.35">
      <c r="A3" s="8">
        <v>1002</v>
      </c>
      <c r="B3" s="9">
        <v>45662</v>
      </c>
      <c r="C3" s="8" t="s">
        <v>12</v>
      </c>
      <c r="D3" s="8" t="s">
        <v>13</v>
      </c>
      <c r="E3" s="8" t="s">
        <v>58</v>
      </c>
      <c r="F3" s="8" t="s">
        <v>14</v>
      </c>
      <c r="G3" s="8" t="s">
        <v>15</v>
      </c>
      <c r="H3" s="8">
        <v>5</v>
      </c>
      <c r="I3" s="8">
        <v>3500</v>
      </c>
      <c r="J3" s="8">
        <v>2500</v>
      </c>
      <c r="K3" s="8">
        <v>0</v>
      </c>
    </row>
    <row r="4" spans="1:11" ht="29" x14ac:dyDescent="0.35">
      <c r="A4" s="8">
        <v>1003</v>
      </c>
      <c r="B4" s="9">
        <v>45663</v>
      </c>
      <c r="C4" s="8" t="s">
        <v>16</v>
      </c>
      <c r="D4" s="8" t="s">
        <v>17</v>
      </c>
      <c r="E4" s="8" t="s">
        <v>57</v>
      </c>
      <c r="F4" s="8" t="s">
        <v>10</v>
      </c>
      <c r="G4" s="8" t="s">
        <v>18</v>
      </c>
      <c r="H4" s="8">
        <v>3</v>
      </c>
      <c r="I4" s="8">
        <v>22000</v>
      </c>
      <c r="J4" s="8">
        <v>18000</v>
      </c>
      <c r="K4" s="8">
        <v>10</v>
      </c>
    </row>
    <row r="5" spans="1:11" ht="29" x14ac:dyDescent="0.35">
      <c r="A5" s="8">
        <v>1004</v>
      </c>
      <c r="B5" s="9">
        <v>45664</v>
      </c>
      <c r="C5" s="8" t="s">
        <v>19</v>
      </c>
      <c r="D5" s="8" t="s">
        <v>20</v>
      </c>
      <c r="E5" s="8" t="s">
        <v>59</v>
      </c>
      <c r="F5" s="8" t="s">
        <v>21</v>
      </c>
      <c r="G5" s="8" t="s">
        <v>22</v>
      </c>
      <c r="H5" s="8">
        <v>4</v>
      </c>
      <c r="I5" s="8">
        <v>2500</v>
      </c>
      <c r="J5" s="8">
        <v>1500</v>
      </c>
      <c r="K5" s="8">
        <v>0</v>
      </c>
    </row>
    <row r="6" spans="1:11" ht="29" x14ac:dyDescent="0.35">
      <c r="A6" s="8">
        <v>1005</v>
      </c>
      <c r="B6" s="9">
        <v>45667</v>
      </c>
      <c r="C6" s="8" t="s">
        <v>8</v>
      </c>
      <c r="D6" s="8" t="s">
        <v>13</v>
      </c>
      <c r="E6" s="8" t="s">
        <v>58</v>
      </c>
      <c r="F6" s="8" t="s">
        <v>14</v>
      </c>
      <c r="G6" s="8" t="s">
        <v>23</v>
      </c>
      <c r="H6" s="8">
        <v>2</v>
      </c>
      <c r="I6" s="8">
        <v>12000</v>
      </c>
      <c r="J6" s="8">
        <v>9000</v>
      </c>
      <c r="K6" s="8">
        <v>5</v>
      </c>
    </row>
    <row r="7" spans="1:11" ht="29" x14ac:dyDescent="0.35">
      <c r="A7" s="8">
        <v>1006</v>
      </c>
      <c r="B7" s="9">
        <v>45668</v>
      </c>
      <c r="C7" s="8" t="s">
        <v>12</v>
      </c>
      <c r="D7" s="8" t="s">
        <v>24</v>
      </c>
      <c r="E7" s="8" t="s">
        <v>57</v>
      </c>
      <c r="F7" s="8" t="s">
        <v>10</v>
      </c>
      <c r="G7" s="8" t="s">
        <v>25</v>
      </c>
      <c r="H7" s="8">
        <v>6</v>
      </c>
      <c r="I7" s="8">
        <v>2000</v>
      </c>
      <c r="J7" s="8">
        <v>1200</v>
      </c>
      <c r="K7" s="8">
        <v>0</v>
      </c>
    </row>
    <row r="8" spans="1:11" ht="29" x14ac:dyDescent="0.35">
      <c r="A8" s="8">
        <v>1007</v>
      </c>
      <c r="B8" s="9">
        <v>45670</v>
      </c>
      <c r="C8" s="8" t="s">
        <v>16</v>
      </c>
      <c r="D8" s="8" t="s">
        <v>9</v>
      </c>
      <c r="E8" s="8" t="s">
        <v>57</v>
      </c>
      <c r="F8" s="8" t="s">
        <v>21</v>
      </c>
      <c r="G8" s="8" t="s">
        <v>26</v>
      </c>
      <c r="H8" s="8">
        <v>3</v>
      </c>
      <c r="I8" s="8">
        <v>3000</v>
      </c>
      <c r="J8" s="8">
        <v>2000</v>
      </c>
      <c r="K8" s="8">
        <v>0</v>
      </c>
    </row>
    <row r="9" spans="1:11" ht="29" x14ac:dyDescent="0.35">
      <c r="A9" s="8">
        <v>1008</v>
      </c>
      <c r="B9" s="9">
        <v>45672</v>
      </c>
      <c r="C9" s="8" t="s">
        <v>19</v>
      </c>
      <c r="D9" s="8" t="s">
        <v>27</v>
      </c>
      <c r="E9" s="8" t="s">
        <v>58</v>
      </c>
      <c r="F9" s="8" t="s">
        <v>10</v>
      </c>
      <c r="G9" s="8" t="s">
        <v>11</v>
      </c>
      <c r="H9" s="8">
        <v>1</v>
      </c>
      <c r="I9" s="8">
        <v>60000</v>
      </c>
      <c r="J9" s="8">
        <v>52000</v>
      </c>
      <c r="K9" s="8">
        <v>15</v>
      </c>
    </row>
    <row r="10" spans="1:11" ht="29" x14ac:dyDescent="0.35">
      <c r="A10" s="8">
        <v>1009</v>
      </c>
      <c r="B10" s="9">
        <v>45675</v>
      </c>
      <c r="C10" s="8" t="s">
        <v>8</v>
      </c>
      <c r="D10" s="8" t="s">
        <v>28</v>
      </c>
      <c r="E10" s="8" t="s">
        <v>59</v>
      </c>
      <c r="F10" s="8" t="s">
        <v>14</v>
      </c>
      <c r="G10" s="8" t="s">
        <v>29</v>
      </c>
      <c r="H10" s="8">
        <v>1</v>
      </c>
      <c r="I10" s="8">
        <v>45000</v>
      </c>
      <c r="J10" s="8">
        <v>38000</v>
      </c>
      <c r="K10" s="8">
        <v>5</v>
      </c>
    </row>
    <row r="11" spans="1:11" ht="29" x14ac:dyDescent="0.35">
      <c r="A11" s="8">
        <v>1010</v>
      </c>
      <c r="B11" s="9">
        <v>45677</v>
      </c>
      <c r="C11" s="8" t="s">
        <v>12</v>
      </c>
      <c r="D11" s="8" t="s">
        <v>17</v>
      </c>
      <c r="E11" s="8" t="s">
        <v>57</v>
      </c>
      <c r="F11" s="8" t="s">
        <v>21</v>
      </c>
      <c r="G11" s="8" t="s">
        <v>30</v>
      </c>
      <c r="H11" s="8">
        <v>10</v>
      </c>
      <c r="I11" s="8">
        <v>800</v>
      </c>
      <c r="J11" s="8">
        <v>400</v>
      </c>
      <c r="K11" s="8">
        <v>0</v>
      </c>
    </row>
    <row r="12" spans="1:11" ht="29" x14ac:dyDescent="0.35">
      <c r="A12" s="8">
        <v>1011</v>
      </c>
      <c r="B12" s="9">
        <v>45690</v>
      </c>
      <c r="C12" s="8" t="s">
        <v>16</v>
      </c>
      <c r="D12" s="8" t="s">
        <v>31</v>
      </c>
      <c r="E12" s="8" t="s">
        <v>58</v>
      </c>
      <c r="F12" s="8" t="s">
        <v>10</v>
      </c>
      <c r="G12" s="8" t="s">
        <v>18</v>
      </c>
      <c r="H12" s="8">
        <v>2</v>
      </c>
      <c r="I12" s="8">
        <v>21000</v>
      </c>
      <c r="J12" s="8">
        <v>17000</v>
      </c>
      <c r="K12" s="8">
        <v>10</v>
      </c>
    </row>
    <row r="13" spans="1:11" ht="29" x14ac:dyDescent="0.35">
      <c r="A13" s="8">
        <v>1012</v>
      </c>
      <c r="B13" s="9">
        <v>45692</v>
      </c>
      <c r="C13" s="8" t="s">
        <v>19</v>
      </c>
      <c r="D13" s="8" t="s">
        <v>13</v>
      </c>
      <c r="E13" s="8" t="s">
        <v>58</v>
      </c>
      <c r="F13" s="8" t="s">
        <v>14</v>
      </c>
      <c r="G13" s="8" t="s">
        <v>15</v>
      </c>
      <c r="H13" s="8">
        <v>3</v>
      </c>
      <c r="I13" s="8">
        <v>3500</v>
      </c>
      <c r="J13" s="8">
        <v>2500</v>
      </c>
      <c r="K13" s="8">
        <v>0</v>
      </c>
    </row>
    <row r="14" spans="1:11" ht="29" x14ac:dyDescent="0.35">
      <c r="A14" s="8">
        <v>1013</v>
      </c>
      <c r="B14" s="9">
        <v>45694</v>
      </c>
      <c r="C14" s="8" t="s">
        <v>8</v>
      </c>
      <c r="D14" s="8" t="s">
        <v>32</v>
      </c>
      <c r="E14" s="8" t="s">
        <v>59</v>
      </c>
      <c r="F14" s="8" t="s">
        <v>21</v>
      </c>
      <c r="G14" s="8" t="s">
        <v>22</v>
      </c>
      <c r="H14" s="8">
        <v>2</v>
      </c>
      <c r="I14" s="8">
        <v>2600</v>
      </c>
      <c r="J14" s="8">
        <v>1500</v>
      </c>
      <c r="K14" s="8">
        <v>0</v>
      </c>
    </row>
    <row r="15" spans="1:11" ht="29" x14ac:dyDescent="0.35">
      <c r="A15" s="8">
        <v>1014</v>
      </c>
      <c r="B15" s="9">
        <v>45696</v>
      </c>
      <c r="C15" s="8" t="s">
        <v>12</v>
      </c>
      <c r="D15" s="8" t="s">
        <v>20</v>
      </c>
      <c r="E15" s="8" t="s">
        <v>57</v>
      </c>
      <c r="F15" s="8" t="s">
        <v>10</v>
      </c>
      <c r="G15" s="8" t="s">
        <v>11</v>
      </c>
      <c r="H15" s="8">
        <v>1</v>
      </c>
      <c r="I15" s="8">
        <v>58000</v>
      </c>
      <c r="J15" s="8">
        <v>50000</v>
      </c>
      <c r="K15" s="8">
        <v>5</v>
      </c>
    </row>
    <row r="16" spans="1:11" ht="29" x14ac:dyDescent="0.35">
      <c r="A16" s="8">
        <v>1015</v>
      </c>
      <c r="B16" s="9">
        <v>45698</v>
      </c>
      <c r="C16" s="8" t="s">
        <v>16</v>
      </c>
      <c r="D16" s="8" t="s">
        <v>33</v>
      </c>
      <c r="E16" s="8" t="s">
        <v>58</v>
      </c>
      <c r="F16" s="8" t="s">
        <v>14</v>
      </c>
      <c r="G16" s="8" t="s">
        <v>23</v>
      </c>
      <c r="H16" s="8">
        <v>1</v>
      </c>
      <c r="I16" s="8">
        <v>11000</v>
      </c>
      <c r="J16" s="8">
        <v>9000</v>
      </c>
      <c r="K16" s="8">
        <v>0</v>
      </c>
    </row>
    <row r="17" spans="1:11" ht="29" x14ac:dyDescent="0.35">
      <c r="A17" s="8">
        <v>1016</v>
      </c>
      <c r="B17" s="9">
        <v>45700</v>
      </c>
      <c r="C17" s="8" t="s">
        <v>19</v>
      </c>
      <c r="D17" s="8" t="s">
        <v>9</v>
      </c>
      <c r="E17" s="8" t="s">
        <v>57</v>
      </c>
      <c r="F17" s="8" t="s">
        <v>10</v>
      </c>
      <c r="G17" s="8" t="s">
        <v>25</v>
      </c>
      <c r="H17" s="8">
        <v>4</v>
      </c>
      <c r="I17" s="8">
        <v>2200</v>
      </c>
      <c r="J17" s="8">
        <v>1200</v>
      </c>
      <c r="K17" s="8">
        <v>0</v>
      </c>
    </row>
    <row r="18" spans="1:11" ht="29" x14ac:dyDescent="0.35">
      <c r="A18" s="8">
        <v>1017</v>
      </c>
      <c r="B18" s="9">
        <v>45703</v>
      </c>
      <c r="C18" s="8" t="s">
        <v>8</v>
      </c>
      <c r="D18" s="8" t="s">
        <v>24</v>
      </c>
      <c r="E18" s="8" t="s">
        <v>58</v>
      </c>
      <c r="F18" s="8" t="s">
        <v>21</v>
      </c>
      <c r="G18" s="8" t="s">
        <v>26</v>
      </c>
      <c r="H18" s="8">
        <v>2</v>
      </c>
      <c r="I18" s="8">
        <v>3200</v>
      </c>
      <c r="J18" s="8">
        <v>2000</v>
      </c>
      <c r="K18" s="8">
        <v>5</v>
      </c>
    </row>
    <row r="19" spans="1:11" ht="29" x14ac:dyDescent="0.35">
      <c r="A19" s="8">
        <v>1018</v>
      </c>
      <c r="B19" s="9">
        <v>45706</v>
      </c>
      <c r="C19" s="8" t="s">
        <v>12</v>
      </c>
      <c r="D19" s="8" t="s">
        <v>27</v>
      </c>
      <c r="E19" s="8" t="s">
        <v>59</v>
      </c>
      <c r="F19" s="8" t="s">
        <v>14</v>
      </c>
      <c r="G19" s="8" t="s">
        <v>29</v>
      </c>
      <c r="H19" s="8">
        <v>1</v>
      </c>
      <c r="I19" s="8">
        <v>47000</v>
      </c>
      <c r="J19" s="8">
        <v>39000</v>
      </c>
      <c r="K19" s="8">
        <v>10</v>
      </c>
    </row>
    <row r="20" spans="1:11" ht="29" x14ac:dyDescent="0.35">
      <c r="A20" s="8">
        <v>1019</v>
      </c>
      <c r="B20" s="9">
        <v>45708</v>
      </c>
      <c r="C20" s="8" t="s">
        <v>16</v>
      </c>
      <c r="D20" s="8" t="s">
        <v>28</v>
      </c>
      <c r="E20" s="8" t="s">
        <v>57</v>
      </c>
      <c r="F20" s="8" t="s">
        <v>10</v>
      </c>
      <c r="G20" s="8" t="s">
        <v>11</v>
      </c>
      <c r="H20" s="8">
        <v>1</v>
      </c>
      <c r="I20" s="8">
        <v>59000</v>
      </c>
      <c r="J20" s="8">
        <v>50000</v>
      </c>
      <c r="K20" s="8">
        <v>0</v>
      </c>
    </row>
    <row r="21" spans="1:11" ht="29" x14ac:dyDescent="0.35">
      <c r="A21" s="8">
        <v>1020</v>
      </c>
      <c r="B21" s="9">
        <v>45710</v>
      </c>
      <c r="C21" s="8" t="s">
        <v>19</v>
      </c>
      <c r="D21" s="8" t="s">
        <v>31</v>
      </c>
      <c r="E21" s="8" t="s">
        <v>58</v>
      </c>
      <c r="F21" s="8" t="s">
        <v>21</v>
      </c>
      <c r="G21" s="8" t="s">
        <v>30</v>
      </c>
      <c r="H21" s="8">
        <v>5</v>
      </c>
      <c r="I21" s="8">
        <v>850</v>
      </c>
      <c r="J21" s="8">
        <v>400</v>
      </c>
      <c r="K21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1157-3CD0-4184-B3D3-9C6F108EFDDE}">
  <dimension ref="A1:H20"/>
  <sheetViews>
    <sheetView topLeftCell="A9" workbookViewId="0">
      <selection activeCell="H16" sqref="H16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1.36328125" bestFit="1" customWidth="1"/>
    <col min="6" max="6" width="12.36328125" bestFit="1" customWidth="1"/>
    <col min="7" max="7" width="14.54296875" bestFit="1" customWidth="1"/>
    <col min="8" max="8" width="11.36328125" bestFit="1" customWidth="1"/>
  </cols>
  <sheetData>
    <row r="1" spans="1:8" x14ac:dyDescent="0.35">
      <c r="A1" s="4" t="s">
        <v>48</v>
      </c>
      <c r="B1" t="s">
        <v>47</v>
      </c>
      <c r="C1" t="s">
        <v>50</v>
      </c>
      <c r="F1" s="4" t="s">
        <v>48</v>
      </c>
      <c r="G1" t="s">
        <v>51</v>
      </c>
      <c r="H1" t="s">
        <v>50</v>
      </c>
    </row>
    <row r="2" spans="1:8" x14ac:dyDescent="0.35">
      <c r="A2" s="5" t="s">
        <v>43</v>
      </c>
      <c r="B2">
        <v>211590</v>
      </c>
      <c r="C2">
        <v>12464500</v>
      </c>
      <c r="F2" s="5" t="s">
        <v>19</v>
      </c>
      <c r="G2">
        <v>294</v>
      </c>
      <c r="H2">
        <v>5388550</v>
      </c>
    </row>
    <row r="3" spans="1:8" x14ac:dyDescent="0.35">
      <c r="A3" s="5" t="s">
        <v>44</v>
      </c>
      <c r="B3">
        <v>201186</v>
      </c>
      <c r="C3">
        <v>7270550</v>
      </c>
      <c r="F3" s="5" t="s">
        <v>8</v>
      </c>
      <c r="G3">
        <v>158</v>
      </c>
      <c r="H3">
        <v>3344850</v>
      </c>
    </row>
    <row r="4" spans="1:8" x14ac:dyDescent="0.35">
      <c r="A4" s="5" t="s">
        <v>49</v>
      </c>
      <c r="B4">
        <v>412776</v>
      </c>
      <c r="C4">
        <v>19735050</v>
      </c>
      <c r="F4" s="5" t="s">
        <v>16</v>
      </c>
      <c r="G4">
        <v>178</v>
      </c>
      <c r="H4">
        <v>3727850</v>
      </c>
    </row>
    <row r="5" spans="1:8" x14ac:dyDescent="0.35">
      <c r="F5" s="5" t="s">
        <v>12</v>
      </c>
      <c r="G5">
        <v>412</v>
      </c>
      <c r="H5">
        <v>7273800</v>
      </c>
    </row>
    <row r="6" spans="1:8" x14ac:dyDescent="0.35">
      <c r="F6" s="5" t="s">
        <v>49</v>
      </c>
      <c r="G6">
        <v>1042</v>
      </c>
      <c r="H6">
        <v>19735050</v>
      </c>
    </row>
    <row r="9" spans="1:8" x14ac:dyDescent="0.35">
      <c r="A9" s="4" t="s">
        <v>48</v>
      </c>
      <c r="B9" t="s">
        <v>51</v>
      </c>
      <c r="C9" t="s">
        <v>50</v>
      </c>
    </row>
    <row r="10" spans="1:8" x14ac:dyDescent="0.35">
      <c r="A10" s="5" t="s">
        <v>9</v>
      </c>
      <c r="B10">
        <v>158</v>
      </c>
      <c r="C10">
        <v>2965000</v>
      </c>
    </row>
    <row r="11" spans="1:8" x14ac:dyDescent="0.35">
      <c r="A11" s="5" t="s">
        <v>13</v>
      </c>
      <c r="B11">
        <v>177</v>
      </c>
      <c r="C11">
        <v>3412900</v>
      </c>
    </row>
    <row r="12" spans="1:8" x14ac:dyDescent="0.35">
      <c r="A12" s="5" t="s">
        <v>17</v>
      </c>
      <c r="B12">
        <v>234</v>
      </c>
      <c r="C12">
        <v>4332750</v>
      </c>
    </row>
    <row r="13" spans="1:8" x14ac:dyDescent="0.35">
      <c r="A13" s="5" t="s">
        <v>20</v>
      </c>
      <c r="B13">
        <v>89</v>
      </c>
      <c r="C13">
        <v>1615450</v>
      </c>
    </row>
    <row r="14" spans="1:8" x14ac:dyDescent="0.35">
      <c r="A14" s="5" t="s">
        <v>24</v>
      </c>
      <c r="B14">
        <v>142</v>
      </c>
      <c r="C14">
        <v>2309600</v>
      </c>
    </row>
    <row r="15" spans="1:8" x14ac:dyDescent="0.35">
      <c r="A15" s="5" t="s">
        <v>27</v>
      </c>
      <c r="B15">
        <v>35</v>
      </c>
      <c r="C15">
        <v>701350</v>
      </c>
    </row>
    <row r="16" spans="1:8" x14ac:dyDescent="0.35">
      <c r="A16" s="5" t="s">
        <v>28</v>
      </c>
      <c r="B16">
        <v>35</v>
      </c>
      <c r="C16">
        <v>716400</v>
      </c>
    </row>
    <row r="17" spans="1:3" x14ac:dyDescent="0.35">
      <c r="A17" s="5" t="s">
        <v>31</v>
      </c>
      <c r="B17">
        <v>121</v>
      </c>
      <c r="C17">
        <v>2607950</v>
      </c>
    </row>
    <row r="18" spans="1:3" x14ac:dyDescent="0.35">
      <c r="A18" s="5" t="s">
        <v>32</v>
      </c>
      <c r="B18">
        <v>34</v>
      </c>
      <c r="C18">
        <v>719500</v>
      </c>
    </row>
    <row r="19" spans="1:3" x14ac:dyDescent="0.35">
      <c r="A19" s="5" t="s">
        <v>33</v>
      </c>
      <c r="B19">
        <v>17</v>
      </c>
      <c r="C19">
        <v>354150</v>
      </c>
    </row>
    <row r="20" spans="1:3" x14ac:dyDescent="0.35">
      <c r="A20" s="5" t="s">
        <v>49</v>
      </c>
      <c r="B20">
        <v>1042</v>
      </c>
      <c r="C20">
        <v>19735050</v>
      </c>
    </row>
  </sheetData>
  <conditionalFormatting pivot="1" sqref="C10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</vt:lpstr>
      <vt:lpstr>Sheet2</vt:lpstr>
      <vt:lpstr>Sheet1</vt:lpstr>
      <vt:lpstr>Pivat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Amit Patel</cp:lastModifiedBy>
  <dcterms:created xsi:type="dcterms:W3CDTF">2015-06-05T18:17:20Z</dcterms:created>
  <dcterms:modified xsi:type="dcterms:W3CDTF">2026-02-26T12:49:12Z</dcterms:modified>
</cp:coreProperties>
</file>